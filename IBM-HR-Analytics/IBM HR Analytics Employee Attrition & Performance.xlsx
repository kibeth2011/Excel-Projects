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Academic\My tasks\Excel\IBM HR Analytics\"/>
    </mc:Choice>
  </mc:AlternateContent>
  <xr:revisionPtr revIDLastSave="0" documentId="13_ncr:1_{24D467AA-3AE3-4033-AC80-2027ACD68F23}" xr6:coauthVersionLast="47" xr6:coauthVersionMax="47" xr10:uidLastSave="{00000000-0000-0000-0000-000000000000}"/>
  <bookViews>
    <workbookView xWindow="-120" yWindow="-120" windowWidth="20730" windowHeight="11760" xr2:uid="{2C6A12F2-A8B2-437A-88F5-F27F37557AC9}"/>
  </bookViews>
  <sheets>
    <sheet name="Dashboard" sheetId="4" r:id="rId1"/>
    <sheet name="Calculations" sheetId="3" r:id="rId2"/>
    <sheet name="Pivot Tables" sheetId="2" r:id="rId3"/>
    <sheet name="Raw_Data" sheetId="1" r:id="rId4"/>
  </sheets>
  <definedNames>
    <definedName name="_xlnm._FilterDatabase" localSheetId="3" hidden="1">Raw_Data!$J$1:$J$1471</definedName>
    <definedName name="Slicer_BusinessTravel">#N/A</definedName>
    <definedName name="Slicer_Department">#N/A</definedName>
    <definedName name="Slicer_OverTime">#N/A</definedName>
  </definedNames>
  <calcPr calcId="181029"/>
  <pivotCaches>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5" i="3" l="1"/>
  <c r="B135" i="2"/>
  <c r="B134" i="2"/>
  <c r="B133" i="2"/>
  <c r="B132" i="2"/>
  <c r="B131" i="2"/>
  <c r="B130" i="2"/>
  <c r="B71" i="2"/>
  <c r="B70" i="2"/>
  <c r="B22" i="3"/>
  <c r="B16" i="3"/>
  <c r="B19" i="3"/>
  <c r="B10" i="3"/>
  <c r="B7" i="3"/>
  <c r="B100" i="2"/>
  <c r="B96" i="2"/>
  <c r="B97" i="2"/>
  <c r="B99" i="2"/>
  <c r="B98" i="2"/>
  <c r="B101" i="2"/>
  <c r="B81" i="2"/>
  <c r="B82" i="2"/>
  <c r="B83" i="2"/>
  <c r="B4" i="3"/>
  <c r="B13" i="3"/>
</calcChain>
</file>

<file path=xl/sharedStrings.xml><?xml version="1.0" encoding="utf-8"?>
<sst xmlns="http://schemas.openxmlformats.org/spreadsheetml/2006/main" count="13394" uniqueCount="111">
  <si>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</si>
  <si>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</si>
  <si>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</si>
  <si>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</si>
  <si>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</si>
  <si>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</si>
  <si>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</si>
  <si>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</si>
  <si>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</si>
  <si>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</si>
  <si>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</si>
  <si>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</si>
  <si>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</si>
  <si>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</si>
  <si>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</si>
  <si>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</si>
  <si>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</si>
  <si>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</si>
  <si>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</si>
  <si>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</si>
  <si>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</si>
  <si>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</si>
  <si>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</si>
  <si>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</si>
  <si>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</si>
  <si>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</si>
  <si>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</si>
  <si>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</si>
  <si>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</si>
  <si>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</si>
  <si>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</si>
  <si>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</si>
  <si>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</si>
  <si>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</si>
  <si>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</si>
  <si>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</si>
  <si>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</si>
  <si>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</si>
  <si>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</si>
  <si>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</si>
  <si>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</si>
  <si>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</si>
  <si>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</si>
  <si>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</si>
  <si>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</si>
  <si>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</si>
  <si>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</si>
  <si>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</si>
  <si>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</si>
  <si>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</si>
  <si>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</si>
  <si>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</si>
  <si>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</si>
  <si>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</si>
  <si>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</si>
  <si>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</si>
  <si>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</si>
  <si>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</si>
  <si>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</si>
  <si>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</si>
  <si>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</si>
  <si>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</si>
  <si>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Grand Total</t>
  </si>
  <si>
    <t>Employee attrition</t>
  </si>
  <si>
    <t>Average Age</t>
  </si>
  <si>
    <t>Average of MonthlyIncome</t>
  </si>
  <si>
    <t>Average Years at Company</t>
  </si>
  <si>
    <t>Average monthly income</t>
  </si>
  <si>
    <t>Average employee age</t>
  </si>
  <si>
    <t>Number of employees in the company</t>
  </si>
  <si>
    <t>Average of YearsAtCompany</t>
  </si>
  <si>
    <t>Employee attrition by department</t>
  </si>
  <si>
    <t>Overtime</t>
  </si>
  <si>
    <t>Business Travel</t>
  </si>
  <si>
    <t>Count of Employee Number</t>
  </si>
  <si>
    <t>No overtime attrition rate</t>
  </si>
  <si>
    <t>Overtime attrition rate</t>
  </si>
  <si>
    <t>Non-Travel attrition rate</t>
  </si>
  <si>
    <t>Travel_Frequently attrition rate</t>
  </si>
  <si>
    <t>Travel_Rarely attrition rate</t>
  </si>
  <si>
    <t>Education Field</t>
  </si>
  <si>
    <t>Human Resources attrition rate</t>
  </si>
  <si>
    <t>Life Sciences attrition rate</t>
  </si>
  <si>
    <t>Marketing attrition rate</t>
  </si>
  <si>
    <t>Medical attrition rate</t>
  </si>
  <si>
    <t>Other attrition rate</t>
  </si>
  <si>
    <t>Technical Degree attrition rate</t>
  </si>
  <si>
    <t>What is the employee distribution by gender?</t>
  </si>
  <si>
    <t>Job Role</t>
  </si>
  <si>
    <t>What is the employee distribution by marital status?</t>
  </si>
  <si>
    <t>Marital status</t>
  </si>
  <si>
    <t>Which age groups have the most employees?</t>
  </si>
  <si>
    <t>Age Group</t>
  </si>
  <si>
    <t>18-25</t>
  </si>
  <si>
    <t>26-35</t>
  </si>
  <si>
    <t>36-45</t>
  </si>
  <si>
    <t>46-55</t>
  </si>
  <si>
    <t>56+</t>
  </si>
  <si>
    <t>Number of employees</t>
  </si>
  <si>
    <t>Total</t>
  </si>
  <si>
    <t>HR ANALYTICS DASHBOARD</t>
  </si>
  <si>
    <t>Active Employees</t>
  </si>
  <si>
    <t>Employees Left</t>
  </si>
  <si>
    <t xml:space="preserve">Employee attrition by department </t>
  </si>
  <si>
    <t>Employee Attrition by Job Role</t>
  </si>
  <si>
    <t>Attrition Rate by Overtime</t>
  </si>
  <si>
    <t>Attrition Rate by Business Travel</t>
  </si>
  <si>
    <t>Attrition Rate by Education Field</t>
  </si>
  <si>
    <t>Overall attrition rate</t>
  </si>
  <si>
    <t>Age groups that has the most employees</t>
  </si>
  <si>
    <t>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</si>
</sst>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10" fontId="0" fillId="0" borderId="0" xfId="1" applyNumberFormat="1" applyFont="1"/>
    <xf numFmtId="0" fontId="16" fillId="0" borderId="0" xfId="0" applyFont="1"/>
    <xf numFmtId="2" fontId="0" fillId="0" borderId="0" xfId="0" applyNumberFormat="1"/>
    <xf numFmtId="1" fontId="0" fillId="0" borderId="0" xfId="0" applyNumberFormat="1"/>
    <xf numFmtId="164" fontId="0" fillId="0" borderId="0" xfId="0" applyNumberFormat="1"/>
    <xf numFmtId="0" fontId="0" fillId="0" borderId="0" xfId="0" applyNumberFormat="1"/>
    <xf numFmtId="0" fontId="18" fillId="33" borderId="0" xfId="0" applyFont="1" applyFill="1" applyAlignment="1">
      <alignment horizontal="center"/>
    </xf>
    <xf numFmtId="0" fontId="0" fillId="34" borderId="0" xfId="0" applyFill="1"/>
    <xf numFmtId="10" fontId="0" fillId="34" borderId="0" xfId="0" applyNumberFormat="1" applyFill="1"/>
    <xf numFmtId="1" fontId="0" fillId="34" borderId="0" xfId="0" applyNumberFormat="1" applyFill="1"/>
    <xf numFmtId="164" fontId="0" fillId="34" borderId="0" xfId="0" applyNumberFormat="1" applyFill="1"/>
    <xf numFmtId="2" fontId="0" fillId="34" borderId="0" xfId="0" applyNumberFormat="1" applyFill="1"/>
    <xf numFmtId="0" fontId="0" fillId="34" borderId="0" xfId="0"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
    <dxf>
      <font>
        <color rgb="FF9C0006"/>
      </font>
      <fill>
        <patternFill>
          <bgColor rgb="FFFFC7CE"/>
        </patternFill>
      </fill>
    </dxf>
    <dxf>
      <font>
        <color rgb="FF9C0006"/>
      </font>
    </dxf>
    <dxf>
      <numFmt numFmtId="2" formatCode="0.00"/>
    </dxf>
    <dxf>
      <numFmt numFmtId="2" formatCode="0.00"/>
    </dxf>
    <dxf>
      <numFmt numFmtId="1" formatCode="0"/>
    </dxf>
  </dxfs>
  <tableStyles count="0" defaultTableStyle="TableStyleMedium2" defaultPivotStyle="PivotStyleLight16"/>
  <colors>
    <mruColors>
      <color rgb="FFD4A6D8"/>
      <color rgb="FFC6C0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Employee Attrition &amp; Performance.xlsx]Pivot Tables!Employee attrition by department </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KE"/>
              <a:t>Employee </a:t>
            </a:r>
            <a:r>
              <a:rPr lang="en-US"/>
              <a:t>A</a:t>
            </a:r>
            <a:r>
              <a:rPr lang="en-KE"/>
              <a:t>ttrition by </a:t>
            </a:r>
            <a:r>
              <a:rPr lang="en-US"/>
              <a:t>D</a:t>
            </a:r>
            <a:r>
              <a:rPr lang="en-KE"/>
              <a:t>epartment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Tables'!$B$31:$B$32</c:f>
              <c:strCache>
                <c:ptCount val="1"/>
                <c:pt idx="0">
                  <c:v>Yes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Tables'!$A$33:$A$36</c:f>
              <c:strCache>
                <c:ptCount val="3"/>
                <c:pt idx="0">
                  <c:v>Human Resources</c:v>
                </c:pt>
                <c:pt idx="1">
                  <c:v>Sales</c:v>
                </c:pt>
                <c:pt idx="2">
                  <c:v>Research &amp; Development</c:v>
                </c:pt>
              </c:strCache>
            </c:strRef>
          </c:cat>
          <c:val>
            <c:numRef>
              <c:f>'Pivot Tables'!$B$33:$B$36</c:f>
              <c:numCache>
                <c:formatCode>General</c:formatCode>
                <c:ptCount val="3"/>
                <c:pt idx="0">
                  <c:v>12</c:v>
                </c:pt>
                <c:pt idx="1">
                  <c:v>92</c:v>
                </c:pt>
                <c:pt idx="2">
                  <c:v>133</c:v>
                </c:pt>
              </c:numCache>
            </c:numRef>
          </c:val>
          <c:extLst>
            <c:ext xmlns:c16="http://schemas.microsoft.com/office/drawing/2014/chart" uri="{C3380CC4-5D6E-409C-BE32-E72D297353CC}">
              <c16:uniqueId val="{00000000-7621-4688-B4D1-80385C466532}"/>
            </c:ext>
          </c:extLst>
        </c:ser>
        <c:dLbls>
          <c:dLblPos val="inEnd"/>
          <c:showLegendKey val="0"/>
          <c:showVal val="1"/>
          <c:showCatName val="0"/>
          <c:showSerName val="0"/>
          <c:showPercent val="0"/>
          <c:showBubbleSize val="0"/>
        </c:dLbls>
        <c:gapWidth val="65"/>
        <c:axId val="1724774575"/>
        <c:axId val="1502890639"/>
      </c:barChart>
      <c:catAx>
        <c:axId val="17247745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Departments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KE"/>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1502890639"/>
        <c:crosses val="autoZero"/>
        <c:auto val="1"/>
        <c:lblAlgn val="ctr"/>
        <c:lblOffset val="100"/>
        <c:noMultiLvlLbl val="0"/>
      </c:catAx>
      <c:valAx>
        <c:axId val="150289063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 Employees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17247745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Employee Attrition &amp; Performance.xlsx]Pivot Tables!Employee Attrition by Job Role</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Attrition by Job Role</a:t>
            </a:r>
          </a:p>
        </c:rich>
      </c:tx>
      <c:layout>
        <c:manualLayout>
          <c:xMode val="edge"/>
          <c:yMode val="edge"/>
          <c:x val="0.31526377952755907"/>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Tables'!$B$47:$B$48</c:f>
              <c:strCache>
                <c:ptCount val="1"/>
                <c:pt idx="0">
                  <c:v>Yes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Tables'!$A$49:$A$58</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 Tables'!$B$49:$B$58</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65B2-4E64-B61A-5A345854ACAE}"/>
            </c:ext>
          </c:extLst>
        </c:ser>
        <c:dLbls>
          <c:dLblPos val="inEnd"/>
          <c:showLegendKey val="0"/>
          <c:showVal val="1"/>
          <c:showCatName val="0"/>
          <c:showSerName val="0"/>
          <c:showPercent val="0"/>
          <c:showBubbleSize val="0"/>
        </c:dLbls>
        <c:gapWidth val="65"/>
        <c:axId val="297614544"/>
        <c:axId val="297599184"/>
      </c:barChart>
      <c:catAx>
        <c:axId val="2976145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297599184"/>
        <c:crosses val="autoZero"/>
        <c:auto val="1"/>
        <c:lblAlgn val="ctr"/>
        <c:lblOffset val="100"/>
        <c:noMultiLvlLbl val="0"/>
      </c:catAx>
      <c:valAx>
        <c:axId val="2975991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2976145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Overtime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Tables'!$A$70:$A$71</c:f>
              <c:strCache>
                <c:ptCount val="2"/>
                <c:pt idx="0">
                  <c:v>No overtime attrition rate</c:v>
                </c:pt>
                <c:pt idx="1">
                  <c:v>Overtime attrition rate</c:v>
                </c:pt>
              </c:strCache>
            </c:strRef>
          </c:cat>
          <c:val>
            <c:numRef>
              <c:f>'Pivot Tables'!$B$70:$B$71</c:f>
              <c:numCache>
                <c:formatCode>0.00%</c:formatCode>
                <c:ptCount val="2"/>
                <c:pt idx="0">
                  <c:v>0.10436432637571158</c:v>
                </c:pt>
                <c:pt idx="1">
                  <c:v>0.30528846153846156</c:v>
                </c:pt>
              </c:numCache>
            </c:numRef>
          </c:val>
          <c:extLst>
            <c:ext xmlns:c16="http://schemas.microsoft.com/office/drawing/2014/chart" uri="{C3380CC4-5D6E-409C-BE32-E72D297353CC}">
              <c16:uniqueId val="{00000000-6838-4B08-B354-A3452B7E8A1D}"/>
            </c:ext>
          </c:extLst>
        </c:ser>
        <c:dLbls>
          <c:dLblPos val="inEnd"/>
          <c:showLegendKey val="0"/>
          <c:showVal val="1"/>
          <c:showCatName val="0"/>
          <c:showSerName val="0"/>
          <c:showPercent val="0"/>
          <c:showBubbleSize val="0"/>
        </c:dLbls>
        <c:gapWidth val="65"/>
        <c:axId val="2121023967"/>
        <c:axId val="2121012447"/>
      </c:barChart>
      <c:catAx>
        <c:axId val="21210239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2121012447"/>
        <c:crosses val="autoZero"/>
        <c:auto val="1"/>
        <c:lblAlgn val="ctr"/>
        <c:lblOffset val="100"/>
        <c:noMultiLvlLbl val="0"/>
      </c:catAx>
      <c:valAx>
        <c:axId val="21210124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212102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Business Travel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Tables'!$A$81:$A$83</c:f>
              <c:strCache>
                <c:ptCount val="3"/>
                <c:pt idx="0">
                  <c:v>Non-Travel attrition rate</c:v>
                </c:pt>
                <c:pt idx="1">
                  <c:v>Travel_Rarely attrition rate</c:v>
                </c:pt>
                <c:pt idx="2">
                  <c:v>Travel_Frequently attrition rate</c:v>
                </c:pt>
              </c:strCache>
            </c:strRef>
          </c:cat>
          <c:val>
            <c:numRef>
              <c:f>'Pivot Tables'!$B$81:$B$83</c:f>
              <c:numCache>
                <c:formatCode>0.00%</c:formatCode>
                <c:ptCount val="3"/>
                <c:pt idx="0">
                  <c:v>0.08</c:v>
                </c:pt>
                <c:pt idx="1">
                  <c:v>0.14956855225311602</c:v>
                </c:pt>
                <c:pt idx="2">
                  <c:v>0.24909747292418771</c:v>
                </c:pt>
              </c:numCache>
            </c:numRef>
          </c:val>
          <c:extLst>
            <c:ext xmlns:c16="http://schemas.microsoft.com/office/drawing/2014/chart" uri="{C3380CC4-5D6E-409C-BE32-E72D297353CC}">
              <c16:uniqueId val="{00000000-4EAB-4BF2-835F-631D266F87A5}"/>
            </c:ext>
          </c:extLst>
        </c:ser>
        <c:dLbls>
          <c:dLblPos val="inEnd"/>
          <c:showLegendKey val="0"/>
          <c:showVal val="1"/>
          <c:showCatName val="0"/>
          <c:showSerName val="0"/>
          <c:showPercent val="0"/>
          <c:showBubbleSize val="0"/>
        </c:dLbls>
        <c:gapWidth val="65"/>
        <c:axId val="2121050367"/>
        <c:axId val="2121045087"/>
      </c:barChart>
      <c:catAx>
        <c:axId val="21210503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2121045087"/>
        <c:crosses val="autoZero"/>
        <c:auto val="1"/>
        <c:lblAlgn val="ctr"/>
        <c:lblOffset val="100"/>
        <c:noMultiLvlLbl val="0"/>
      </c:catAx>
      <c:valAx>
        <c:axId val="21210450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212105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Education Field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Tables'!$A$96:$A$101</c:f>
              <c:strCache>
                <c:ptCount val="6"/>
                <c:pt idx="0">
                  <c:v>Other attrition rate</c:v>
                </c:pt>
                <c:pt idx="1">
                  <c:v>Medical attrition rate</c:v>
                </c:pt>
                <c:pt idx="2">
                  <c:v>Life Sciences attrition rate</c:v>
                </c:pt>
                <c:pt idx="3">
                  <c:v>Marketing attrition rate</c:v>
                </c:pt>
                <c:pt idx="4">
                  <c:v>Technical Degree attrition rate</c:v>
                </c:pt>
                <c:pt idx="5">
                  <c:v>Human Resources attrition rate</c:v>
                </c:pt>
              </c:strCache>
            </c:strRef>
          </c:cat>
          <c:val>
            <c:numRef>
              <c:f>'Pivot Tables'!$B$96:$B$101</c:f>
              <c:numCache>
                <c:formatCode>0.00%</c:formatCode>
                <c:ptCount val="6"/>
                <c:pt idx="0">
                  <c:v>0.13414634146341464</c:v>
                </c:pt>
                <c:pt idx="1">
                  <c:v>0.13577586206896552</c:v>
                </c:pt>
                <c:pt idx="2">
                  <c:v>0.14686468646864687</c:v>
                </c:pt>
                <c:pt idx="3">
                  <c:v>0.22012578616352202</c:v>
                </c:pt>
                <c:pt idx="4">
                  <c:v>0.24242424242424243</c:v>
                </c:pt>
                <c:pt idx="5">
                  <c:v>0.25925925925925924</c:v>
                </c:pt>
              </c:numCache>
            </c:numRef>
          </c:val>
          <c:extLst>
            <c:ext xmlns:c16="http://schemas.microsoft.com/office/drawing/2014/chart" uri="{C3380CC4-5D6E-409C-BE32-E72D297353CC}">
              <c16:uniqueId val="{00000000-6B64-49A2-919F-A0CC4E2FDD2A}"/>
            </c:ext>
          </c:extLst>
        </c:ser>
        <c:dLbls>
          <c:dLblPos val="inEnd"/>
          <c:showLegendKey val="0"/>
          <c:showVal val="1"/>
          <c:showCatName val="0"/>
          <c:showSerName val="0"/>
          <c:showPercent val="0"/>
          <c:showBubbleSize val="0"/>
        </c:dLbls>
        <c:gapWidth val="65"/>
        <c:axId val="2120997087"/>
        <c:axId val="2121001887"/>
      </c:barChart>
      <c:catAx>
        <c:axId val="21209970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2121001887"/>
        <c:crosses val="autoZero"/>
        <c:auto val="1"/>
        <c:lblAlgn val="ctr"/>
        <c:lblOffset val="100"/>
        <c:noMultiLvlLbl val="0"/>
      </c:catAx>
      <c:valAx>
        <c:axId val="21210018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212099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Employee Attrition &amp; Performance.xlsx]Pivot Tables!Employee Gender</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a:t>
            </a:r>
            <a:r>
              <a:rPr lang="en-US" baseline="0"/>
              <a:t> </a:t>
            </a:r>
            <a:r>
              <a:rPr lang="en-US"/>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Tables'!$B$104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Tables'!$A$105:$A$107</c:f>
              <c:strCache>
                <c:ptCount val="2"/>
                <c:pt idx="0">
                  <c:v>Female</c:v>
                </c:pt>
                <c:pt idx="1">
                  <c:v>Male</c:v>
                </c:pt>
              </c:strCache>
            </c:strRef>
          </c:cat>
          <c:val>
            <c:numRef>
              <c:f>'Pivot Tables'!$B$105:$B$107</c:f>
              <c:numCache>
                <c:formatCode>General</c:formatCode>
                <c:ptCount val="2"/>
                <c:pt idx="0">
                  <c:v>588</c:v>
                </c:pt>
                <c:pt idx="1">
                  <c:v>882</c:v>
                </c:pt>
              </c:numCache>
            </c:numRef>
          </c:val>
          <c:extLst>
            <c:ext xmlns:c16="http://schemas.microsoft.com/office/drawing/2014/chart" uri="{C3380CC4-5D6E-409C-BE32-E72D297353CC}">
              <c16:uniqueId val="{00000005-F8D7-4236-BAEE-ECCD5CD7FFAE}"/>
            </c:ext>
          </c:extLst>
        </c:ser>
        <c:dLbls>
          <c:showLegendKey val="0"/>
          <c:showVal val="0"/>
          <c:showCatName val="0"/>
          <c:showSerName val="0"/>
          <c:showPercent val="1"/>
          <c:showBubbleSize val="0"/>
          <c:showLeaderLines val="1"/>
        </c:dLbls>
        <c:firstSliceAng val="90"/>
        <c:holeSize val="65"/>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Employees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lotArea>
      <c:layout/>
      <c:barChart>
        <c:barDir val="col"/>
        <c:grouping val="clustered"/>
        <c:varyColors val="0"/>
        <c:ser>
          <c:idx val="0"/>
          <c:order val="0"/>
          <c:tx>
            <c:strRef>
              <c:f>'Pivot Tables'!$B$129</c:f>
              <c:strCache>
                <c:ptCount val="1"/>
                <c:pt idx="0">
                  <c:v>Number of employees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Tables'!$A$130:$A$134</c:f>
              <c:strCache>
                <c:ptCount val="5"/>
                <c:pt idx="0">
                  <c:v>18-25</c:v>
                </c:pt>
                <c:pt idx="1">
                  <c:v>26-35</c:v>
                </c:pt>
                <c:pt idx="2">
                  <c:v>36-45</c:v>
                </c:pt>
                <c:pt idx="3">
                  <c:v>46-55</c:v>
                </c:pt>
                <c:pt idx="4">
                  <c:v>56+</c:v>
                </c:pt>
              </c:strCache>
            </c:strRef>
          </c:cat>
          <c:val>
            <c:numRef>
              <c:f>'Pivot Tables'!$B$130:$B$134</c:f>
              <c:numCache>
                <c:formatCode>General</c:formatCode>
                <c:ptCount val="5"/>
                <c:pt idx="0">
                  <c:v>123</c:v>
                </c:pt>
                <c:pt idx="1">
                  <c:v>606</c:v>
                </c:pt>
                <c:pt idx="2">
                  <c:v>468</c:v>
                </c:pt>
                <c:pt idx="3">
                  <c:v>226</c:v>
                </c:pt>
                <c:pt idx="4">
                  <c:v>47</c:v>
                </c:pt>
              </c:numCache>
            </c:numRef>
          </c:val>
          <c:extLst>
            <c:ext xmlns:c16="http://schemas.microsoft.com/office/drawing/2014/chart" uri="{C3380CC4-5D6E-409C-BE32-E72D297353CC}">
              <c16:uniqueId val="{00000000-8533-4CBB-8EA4-451C0C6AB19C}"/>
            </c:ext>
          </c:extLst>
        </c:ser>
        <c:dLbls>
          <c:dLblPos val="inEnd"/>
          <c:showLegendKey val="0"/>
          <c:showVal val="1"/>
          <c:showCatName val="0"/>
          <c:showSerName val="0"/>
          <c:showPercent val="0"/>
          <c:showBubbleSize val="0"/>
        </c:dLbls>
        <c:gapWidth val="65"/>
        <c:axId val="202577967"/>
        <c:axId val="202528527"/>
      </c:barChart>
      <c:catAx>
        <c:axId val="2025779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KE"/>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202528527"/>
        <c:crosses val="autoZero"/>
        <c:auto val="1"/>
        <c:lblAlgn val="ctr"/>
        <c:lblOffset val="100"/>
        <c:noMultiLvlLbl val="0"/>
      </c:catAx>
      <c:valAx>
        <c:axId val="202528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 employees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KE"/>
            </a:p>
          </c:txPr>
        </c:title>
        <c:numFmt formatCode="General" sourceLinked="1"/>
        <c:majorTickMark val="none"/>
        <c:minorTickMark val="none"/>
        <c:tickLblPos val="nextTo"/>
        <c:crossAx val="20257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Employee Attrition &amp; Performance.xlsx]Pivot Tables!Employee attrition by department </c:name>
    <c:fmtId val="1"/>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KE"/>
              <a:t>Employee attrition by department </a:t>
            </a:r>
            <a:endParaRPr lang="en-US"/>
          </a:p>
        </c:rich>
      </c:tx>
      <c:layout>
        <c:manualLayout>
          <c:xMode val="edge"/>
          <c:yMode val="edge"/>
          <c:x val="0.15345874652697705"/>
          <c:y val="3.864734299516908E-2"/>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Tables'!$B$31:$B$32</c:f>
              <c:strCache>
                <c:ptCount val="1"/>
                <c:pt idx="0">
                  <c:v>Yes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Tables'!$A$33:$A$36</c:f>
              <c:strCache>
                <c:ptCount val="3"/>
                <c:pt idx="0">
                  <c:v>Human Resources</c:v>
                </c:pt>
                <c:pt idx="1">
                  <c:v>Sales</c:v>
                </c:pt>
                <c:pt idx="2">
                  <c:v>Research &amp; Development</c:v>
                </c:pt>
              </c:strCache>
            </c:strRef>
          </c:cat>
          <c:val>
            <c:numRef>
              <c:f>'Pivot Tables'!$B$33:$B$36</c:f>
              <c:numCache>
                <c:formatCode>General</c:formatCode>
                <c:ptCount val="3"/>
                <c:pt idx="0">
                  <c:v>12</c:v>
                </c:pt>
                <c:pt idx="1">
                  <c:v>92</c:v>
                </c:pt>
                <c:pt idx="2">
                  <c:v>133</c:v>
                </c:pt>
              </c:numCache>
            </c:numRef>
          </c:val>
          <c:extLst>
            <c:ext xmlns:c16="http://schemas.microsoft.com/office/drawing/2014/chart" uri="{C3380CC4-5D6E-409C-BE32-E72D297353CC}">
              <c16:uniqueId val="{00000000-29AE-4C74-9B47-95A004AC5CE4}"/>
            </c:ext>
          </c:extLst>
        </c:ser>
        <c:dLbls>
          <c:dLblPos val="inEnd"/>
          <c:showLegendKey val="0"/>
          <c:showVal val="1"/>
          <c:showCatName val="0"/>
          <c:showSerName val="0"/>
          <c:showPercent val="0"/>
          <c:showBubbleSize val="0"/>
        </c:dLbls>
        <c:gapWidth val="65"/>
        <c:axId val="1724774575"/>
        <c:axId val="1502890639"/>
      </c:barChart>
      <c:catAx>
        <c:axId val="17247745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Departments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KE"/>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1502890639"/>
        <c:crosses val="autoZero"/>
        <c:auto val="1"/>
        <c:lblAlgn val="ctr"/>
        <c:lblOffset val="100"/>
        <c:noMultiLvlLbl val="0"/>
      </c:catAx>
      <c:valAx>
        <c:axId val="150289063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 Employees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17247745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Employee Attrition &amp; Performance.xlsx]Pivot Tables!Employee Attrition by Job Role</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Attrition by Job Role</a:t>
            </a:r>
          </a:p>
        </c:rich>
      </c:tx>
      <c:layout>
        <c:manualLayout>
          <c:xMode val="edge"/>
          <c:yMode val="edge"/>
          <c:x val="0.31526377952755907"/>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Tables'!$B$47:$B$48</c:f>
              <c:strCache>
                <c:ptCount val="1"/>
                <c:pt idx="0">
                  <c:v>Yes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Tables'!$A$49:$A$58</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 Tables'!$B$49:$B$58</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A798-4047-9005-9A99A4B3BDFC}"/>
            </c:ext>
          </c:extLst>
        </c:ser>
        <c:dLbls>
          <c:dLblPos val="inEnd"/>
          <c:showLegendKey val="0"/>
          <c:showVal val="1"/>
          <c:showCatName val="0"/>
          <c:showSerName val="0"/>
          <c:showPercent val="0"/>
          <c:showBubbleSize val="0"/>
        </c:dLbls>
        <c:gapWidth val="65"/>
        <c:axId val="297614544"/>
        <c:axId val="297599184"/>
      </c:barChart>
      <c:catAx>
        <c:axId val="2976145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297599184"/>
        <c:crosses val="autoZero"/>
        <c:auto val="1"/>
        <c:lblAlgn val="ctr"/>
        <c:lblOffset val="100"/>
        <c:noMultiLvlLbl val="0"/>
      </c:catAx>
      <c:valAx>
        <c:axId val="2975991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2976145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Overtime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Tables'!$A$70:$A$71</c:f>
              <c:strCache>
                <c:ptCount val="2"/>
                <c:pt idx="0">
                  <c:v>No overtime attrition rate</c:v>
                </c:pt>
                <c:pt idx="1">
                  <c:v>Overtime attrition rate</c:v>
                </c:pt>
              </c:strCache>
            </c:strRef>
          </c:cat>
          <c:val>
            <c:numRef>
              <c:f>'Pivot Tables'!$B$70:$B$71</c:f>
              <c:numCache>
                <c:formatCode>0.00%</c:formatCode>
                <c:ptCount val="2"/>
                <c:pt idx="0">
                  <c:v>0.10436432637571158</c:v>
                </c:pt>
                <c:pt idx="1">
                  <c:v>0.30528846153846156</c:v>
                </c:pt>
              </c:numCache>
            </c:numRef>
          </c:val>
          <c:extLst>
            <c:ext xmlns:c16="http://schemas.microsoft.com/office/drawing/2014/chart" uri="{C3380CC4-5D6E-409C-BE32-E72D297353CC}">
              <c16:uniqueId val="{00000000-5339-48C6-845D-62106BDA6401}"/>
            </c:ext>
          </c:extLst>
        </c:ser>
        <c:dLbls>
          <c:dLblPos val="inEnd"/>
          <c:showLegendKey val="0"/>
          <c:showVal val="1"/>
          <c:showCatName val="0"/>
          <c:showSerName val="0"/>
          <c:showPercent val="0"/>
          <c:showBubbleSize val="0"/>
        </c:dLbls>
        <c:gapWidth val="65"/>
        <c:axId val="2121023967"/>
        <c:axId val="2121012447"/>
      </c:barChart>
      <c:catAx>
        <c:axId val="21210239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2121012447"/>
        <c:crosses val="autoZero"/>
        <c:auto val="1"/>
        <c:lblAlgn val="ctr"/>
        <c:lblOffset val="100"/>
        <c:noMultiLvlLbl val="0"/>
      </c:catAx>
      <c:valAx>
        <c:axId val="21210124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212102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Business Travel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Tables'!$A$81:$A$83</c:f>
              <c:strCache>
                <c:ptCount val="3"/>
                <c:pt idx="0">
                  <c:v>Non-Travel attrition rate</c:v>
                </c:pt>
                <c:pt idx="1">
                  <c:v>Travel_Rarely attrition rate</c:v>
                </c:pt>
                <c:pt idx="2">
                  <c:v>Travel_Frequently attrition rate</c:v>
                </c:pt>
              </c:strCache>
            </c:strRef>
          </c:cat>
          <c:val>
            <c:numRef>
              <c:f>'Pivot Tables'!$B$81:$B$83</c:f>
              <c:numCache>
                <c:formatCode>0.00%</c:formatCode>
                <c:ptCount val="3"/>
                <c:pt idx="0">
                  <c:v>0.08</c:v>
                </c:pt>
                <c:pt idx="1">
                  <c:v>0.14956855225311602</c:v>
                </c:pt>
                <c:pt idx="2">
                  <c:v>0.24909747292418771</c:v>
                </c:pt>
              </c:numCache>
            </c:numRef>
          </c:val>
          <c:extLst>
            <c:ext xmlns:c16="http://schemas.microsoft.com/office/drawing/2014/chart" uri="{C3380CC4-5D6E-409C-BE32-E72D297353CC}">
              <c16:uniqueId val="{00000000-6664-4CBF-860A-432D6DFE2FE4}"/>
            </c:ext>
          </c:extLst>
        </c:ser>
        <c:dLbls>
          <c:dLblPos val="inEnd"/>
          <c:showLegendKey val="0"/>
          <c:showVal val="1"/>
          <c:showCatName val="0"/>
          <c:showSerName val="0"/>
          <c:showPercent val="0"/>
          <c:showBubbleSize val="0"/>
        </c:dLbls>
        <c:gapWidth val="65"/>
        <c:axId val="2121050367"/>
        <c:axId val="2121045087"/>
      </c:barChart>
      <c:catAx>
        <c:axId val="21210503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2121045087"/>
        <c:crosses val="autoZero"/>
        <c:auto val="1"/>
        <c:lblAlgn val="ctr"/>
        <c:lblOffset val="100"/>
        <c:noMultiLvlLbl val="0"/>
      </c:catAx>
      <c:valAx>
        <c:axId val="21210450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212105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Education Field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Tables'!$A$96:$A$101</c:f>
              <c:strCache>
                <c:ptCount val="6"/>
                <c:pt idx="0">
                  <c:v>Other attrition rate</c:v>
                </c:pt>
                <c:pt idx="1">
                  <c:v>Medical attrition rate</c:v>
                </c:pt>
                <c:pt idx="2">
                  <c:v>Life Sciences attrition rate</c:v>
                </c:pt>
                <c:pt idx="3">
                  <c:v>Marketing attrition rate</c:v>
                </c:pt>
                <c:pt idx="4">
                  <c:v>Technical Degree attrition rate</c:v>
                </c:pt>
                <c:pt idx="5">
                  <c:v>Human Resources attrition rate</c:v>
                </c:pt>
              </c:strCache>
            </c:strRef>
          </c:cat>
          <c:val>
            <c:numRef>
              <c:f>'Pivot Tables'!$B$96:$B$101</c:f>
              <c:numCache>
                <c:formatCode>0.00%</c:formatCode>
                <c:ptCount val="6"/>
                <c:pt idx="0">
                  <c:v>0.13414634146341464</c:v>
                </c:pt>
                <c:pt idx="1">
                  <c:v>0.13577586206896552</c:v>
                </c:pt>
                <c:pt idx="2">
                  <c:v>0.14686468646864687</c:v>
                </c:pt>
                <c:pt idx="3">
                  <c:v>0.22012578616352202</c:v>
                </c:pt>
                <c:pt idx="4">
                  <c:v>0.24242424242424243</c:v>
                </c:pt>
                <c:pt idx="5">
                  <c:v>0.25925925925925924</c:v>
                </c:pt>
              </c:numCache>
            </c:numRef>
          </c:val>
          <c:extLst>
            <c:ext xmlns:c16="http://schemas.microsoft.com/office/drawing/2014/chart" uri="{C3380CC4-5D6E-409C-BE32-E72D297353CC}">
              <c16:uniqueId val="{00000000-FE52-4C13-BC5B-BD23E2FBF2AD}"/>
            </c:ext>
          </c:extLst>
        </c:ser>
        <c:dLbls>
          <c:dLblPos val="inEnd"/>
          <c:showLegendKey val="0"/>
          <c:showVal val="1"/>
          <c:showCatName val="0"/>
          <c:showSerName val="0"/>
          <c:showPercent val="0"/>
          <c:showBubbleSize val="0"/>
        </c:dLbls>
        <c:gapWidth val="65"/>
        <c:axId val="2120997087"/>
        <c:axId val="2121001887"/>
      </c:barChart>
      <c:catAx>
        <c:axId val="21209970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2121001887"/>
        <c:crosses val="autoZero"/>
        <c:auto val="1"/>
        <c:lblAlgn val="ctr"/>
        <c:lblOffset val="100"/>
        <c:noMultiLvlLbl val="0"/>
      </c:catAx>
      <c:valAx>
        <c:axId val="21210018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212099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Employee Attrition &amp; Performance.xlsx]Pivot Tables!Employee Gender</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a:t>
            </a:r>
            <a:r>
              <a:rPr lang="en-US" baseline="0"/>
              <a:t> </a:t>
            </a:r>
            <a:r>
              <a:rPr lang="en-US"/>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Tables'!$B$104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Tables'!$A$105:$A$107</c:f>
              <c:strCache>
                <c:ptCount val="2"/>
                <c:pt idx="0">
                  <c:v>Female</c:v>
                </c:pt>
                <c:pt idx="1">
                  <c:v>Male</c:v>
                </c:pt>
              </c:strCache>
            </c:strRef>
          </c:cat>
          <c:val>
            <c:numRef>
              <c:f>'Pivot Tables'!$B$105:$B$107</c:f>
              <c:numCache>
                <c:formatCode>General</c:formatCode>
                <c:ptCount val="2"/>
                <c:pt idx="0">
                  <c:v>588</c:v>
                </c:pt>
                <c:pt idx="1">
                  <c:v>882</c:v>
                </c:pt>
              </c:numCache>
            </c:numRef>
          </c:val>
          <c:extLst>
            <c:ext xmlns:c16="http://schemas.microsoft.com/office/drawing/2014/chart" uri="{C3380CC4-5D6E-409C-BE32-E72D297353CC}">
              <c16:uniqueId val="{00000002-C971-4577-AED3-88C4CB9A4F1D}"/>
            </c:ext>
          </c:extLst>
        </c:ser>
        <c:dLbls>
          <c:showLegendKey val="0"/>
          <c:showVal val="0"/>
          <c:showCatName val="0"/>
          <c:showSerName val="0"/>
          <c:showPercent val="1"/>
          <c:showBubbleSize val="0"/>
          <c:showLeaderLines val="1"/>
        </c:dLbls>
        <c:firstSliceAng val="90"/>
        <c:holeSize val="65"/>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Employee Attrition &amp; Performance.xlsx]Pivot Tables!Employee Marital Status</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Marital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Tables'!$B$116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Tables'!$A$117:$A$120</c:f>
              <c:strCache>
                <c:ptCount val="3"/>
                <c:pt idx="0">
                  <c:v>Divorced</c:v>
                </c:pt>
                <c:pt idx="1">
                  <c:v>Married</c:v>
                </c:pt>
                <c:pt idx="2">
                  <c:v>Single</c:v>
                </c:pt>
              </c:strCache>
            </c:strRef>
          </c:cat>
          <c:val>
            <c:numRef>
              <c:f>'Pivot Tables'!$B$117:$B$120</c:f>
              <c:numCache>
                <c:formatCode>General</c:formatCode>
                <c:ptCount val="3"/>
                <c:pt idx="0">
                  <c:v>327</c:v>
                </c:pt>
                <c:pt idx="1">
                  <c:v>673</c:v>
                </c:pt>
                <c:pt idx="2">
                  <c:v>470</c:v>
                </c:pt>
              </c:numCache>
            </c:numRef>
          </c:val>
          <c:extLst>
            <c:ext xmlns:c16="http://schemas.microsoft.com/office/drawing/2014/chart" uri="{C3380CC4-5D6E-409C-BE32-E72D297353CC}">
              <c16:uniqueId val="{00000000-66CB-45E2-B032-1EE1ECD287EB}"/>
            </c:ext>
          </c:extLst>
        </c:ser>
        <c:dLbls>
          <c:showLegendKey val="0"/>
          <c:showVal val="0"/>
          <c:showCatName val="0"/>
          <c:showSerName val="0"/>
          <c:showPercent val="1"/>
          <c:showBubbleSize val="0"/>
          <c:showLeaderLines val="1"/>
        </c:dLbls>
        <c:firstSliceAng val="90"/>
        <c:holeSize val="65"/>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Employees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lotArea>
      <c:layout/>
      <c:barChart>
        <c:barDir val="col"/>
        <c:grouping val="clustered"/>
        <c:varyColors val="0"/>
        <c:ser>
          <c:idx val="0"/>
          <c:order val="0"/>
          <c:tx>
            <c:strRef>
              <c:f>'Pivot Tables'!$B$129</c:f>
              <c:strCache>
                <c:ptCount val="1"/>
                <c:pt idx="0">
                  <c:v>Number of employees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Tables'!$A$130:$A$134</c:f>
              <c:strCache>
                <c:ptCount val="5"/>
                <c:pt idx="0">
                  <c:v>18-25</c:v>
                </c:pt>
                <c:pt idx="1">
                  <c:v>26-35</c:v>
                </c:pt>
                <c:pt idx="2">
                  <c:v>36-45</c:v>
                </c:pt>
                <c:pt idx="3">
                  <c:v>46-55</c:v>
                </c:pt>
                <c:pt idx="4">
                  <c:v>56+</c:v>
                </c:pt>
              </c:strCache>
            </c:strRef>
          </c:cat>
          <c:val>
            <c:numRef>
              <c:f>'Pivot Tables'!$B$130:$B$134</c:f>
              <c:numCache>
                <c:formatCode>General</c:formatCode>
                <c:ptCount val="5"/>
                <c:pt idx="0">
                  <c:v>123</c:v>
                </c:pt>
                <c:pt idx="1">
                  <c:v>606</c:v>
                </c:pt>
                <c:pt idx="2">
                  <c:v>468</c:v>
                </c:pt>
                <c:pt idx="3">
                  <c:v>226</c:v>
                </c:pt>
                <c:pt idx="4">
                  <c:v>47</c:v>
                </c:pt>
              </c:numCache>
            </c:numRef>
          </c:val>
          <c:extLst>
            <c:ext xmlns:c16="http://schemas.microsoft.com/office/drawing/2014/chart" uri="{C3380CC4-5D6E-409C-BE32-E72D297353CC}">
              <c16:uniqueId val="{00000000-434A-4830-B0FE-83A442BF105A}"/>
            </c:ext>
          </c:extLst>
        </c:ser>
        <c:dLbls>
          <c:dLblPos val="inEnd"/>
          <c:showLegendKey val="0"/>
          <c:showVal val="1"/>
          <c:showCatName val="0"/>
          <c:showSerName val="0"/>
          <c:showPercent val="0"/>
          <c:showBubbleSize val="0"/>
        </c:dLbls>
        <c:gapWidth val="65"/>
        <c:axId val="202577967"/>
        <c:axId val="202528527"/>
      </c:barChart>
      <c:catAx>
        <c:axId val="2025779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KE"/>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202528527"/>
        <c:crosses val="autoZero"/>
        <c:auto val="1"/>
        <c:lblAlgn val="ctr"/>
        <c:lblOffset val="100"/>
        <c:noMultiLvlLbl val="0"/>
      </c:catAx>
      <c:valAx>
        <c:axId val="202528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 employees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KE"/>
            </a:p>
          </c:txPr>
        </c:title>
        <c:numFmt formatCode="General" sourceLinked="1"/>
        <c:majorTickMark val="none"/>
        <c:minorTickMark val="none"/>
        <c:tickLblPos val="nextTo"/>
        <c:crossAx val="20257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557894</xdr:colOff>
      <xdr:row>2</xdr:row>
      <xdr:rowOff>179612</xdr:rowOff>
    </xdr:from>
    <xdr:to>
      <xdr:col>7</xdr:col>
      <xdr:colOff>81643</xdr:colOff>
      <xdr:row>7</xdr:row>
      <xdr:rowOff>149677</xdr:rowOff>
    </xdr:to>
    <xdr:grpSp>
      <xdr:nvGrpSpPr>
        <xdr:cNvPr id="52" name="Group 51">
          <a:extLst>
            <a:ext uri="{FF2B5EF4-FFF2-40B4-BE49-F238E27FC236}">
              <a16:creationId xmlns:a16="http://schemas.microsoft.com/office/drawing/2014/main" id="{07CB6636-75B5-3987-54BB-8BF0C50474C6}"/>
            </a:ext>
          </a:extLst>
        </xdr:cNvPr>
        <xdr:cNvGrpSpPr/>
      </xdr:nvGrpSpPr>
      <xdr:grpSpPr>
        <a:xfrm>
          <a:off x="2394858" y="560612"/>
          <a:ext cx="2109106" cy="922565"/>
          <a:chOff x="2044133" y="547007"/>
          <a:chExt cx="1617891" cy="476250"/>
        </a:xfrm>
        <a:solidFill>
          <a:schemeClr val="bg1"/>
        </a:solidFill>
        <a:effectLst>
          <a:outerShdw blurRad="50800" dist="38100" algn="l" rotWithShape="0">
            <a:prstClr val="black">
              <a:alpha val="40000"/>
            </a:prstClr>
          </a:outerShdw>
        </a:effectLst>
      </xdr:grpSpPr>
      <xdr:sp macro="" textlink="">
        <xdr:nvSpPr>
          <xdr:cNvPr id="3" name="Rectangle: Rounded Corners 2">
            <a:extLst>
              <a:ext uri="{FF2B5EF4-FFF2-40B4-BE49-F238E27FC236}">
                <a16:creationId xmlns:a16="http://schemas.microsoft.com/office/drawing/2014/main" id="{A1E55D59-EF0B-87F3-D457-301F413A1351}"/>
              </a:ext>
            </a:extLst>
          </xdr:cNvPr>
          <xdr:cNvSpPr/>
        </xdr:nvSpPr>
        <xdr:spPr>
          <a:xfrm>
            <a:off x="2044133" y="547007"/>
            <a:ext cx="1617891" cy="4762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Calculations!B4">
        <xdr:nvSpPr>
          <xdr:cNvPr id="4" name="TextBox 3">
            <a:extLst>
              <a:ext uri="{FF2B5EF4-FFF2-40B4-BE49-F238E27FC236}">
                <a16:creationId xmlns:a16="http://schemas.microsoft.com/office/drawing/2014/main" id="{D0A4322B-F1AE-9B6A-2AB7-F0B952E14CAA}"/>
              </a:ext>
            </a:extLst>
          </xdr:cNvPr>
          <xdr:cNvSpPr txBox="1"/>
        </xdr:nvSpPr>
        <xdr:spPr>
          <a:xfrm>
            <a:off x="2453364" y="556532"/>
            <a:ext cx="780394" cy="2476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2BEDB5-9A30-479C-932C-F0D6B81A59DC}" type="TxLink">
              <a:rPr lang="en-US" sz="2400" b="1" i="0" u="none" strike="noStrike">
                <a:solidFill>
                  <a:srgbClr val="000000"/>
                </a:solidFill>
                <a:latin typeface="Calibri"/>
                <a:cs typeface="Calibri"/>
              </a:rPr>
              <a:pPr algn="ctr"/>
              <a:t>1470</a:t>
            </a:fld>
            <a:endParaRPr lang="en-KE" sz="2400" b="1"/>
          </a:p>
        </xdr:txBody>
      </xdr:sp>
      <xdr:sp macro="" textlink="">
        <xdr:nvSpPr>
          <xdr:cNvPr id="5" name="TextBox 4">
            <a:extLst>
              <a:ext uri="{FF2B5EF4-FFF2-40B4-BE49-F238E27FC236}">
                <a16:creationId xmlns:a16="http://schemas.microsoft.com/office/drawing/2014/main" id="{A5A30E21-CEDE-58F9-1964-ABC5027696C6}"/>
              </a:ext>
            </a:extLst>
          </xdr:cNvPr>
          <xdr:cNvSpPr txBox="1"/>
        </xdr:nvSpPr>
        <xdr:spPr>
          <a:xfrm>
            <a:off x="2214886" y="826576"/>
            <a:ext cx="1323416" cy="18715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Employees</a:t>
            </a:r>
          </a:p>
        </xdr:txBody>
      </xdr:sp>
    </xdr:grpSp>
    <xdr:clientData/>
  </xdr:twoCellAnchor>
  <xdr:twoCellAnchor>
    <xdr:from>
      <xdr:col>7</xdr:col>
      <xdr:colOff>181362</xdr:colOff>
      <xdr:row>2</xdr:row>
      <xdr:rowOff>155462</xdr:rowOff>
    </xdr:from>
    <xdr:to>
      <xdr:col>10</xdr:col>
      <xdr:colOff>455666</xdr:colOff>
      <xdr:row>7</xdr:row>
      <xdr:rowOff>122464</xdr:rowOff>
    </xdr:to>
    <xdr:grpSp>
      <xdr:nvGrpSpPr>
        <xdr:cNvPr id="31" name="Group 30">
          <a:extLst>
            <a:ext uri="{FF2B5EF4-FFF2-40B4-BE49-F238E27FC236}">
              <a16:creationId xmlns:a16="http://schemas.microsoft.com/office/drawing/2014/main" id="{8CAC0DE2-D66A-97E0-B9B6-66CEE4D6C9E3}"/>
            </a:ext>
          </a:extLst>
        </xdr:cNvPr>
        <xdr:cNvGrpSpPr/>
      </xdr:nvGrpSpPr>
      <xdr:grpSpPr>
        <a:xfrm>
          <a:off x="4603683" y="536462"/>
          <a:ext cx="2111269" cy="919502"/>
          <a:chOff x="2486025" y="571500"/>
          <a:chExt cx="1619251" cy="476250"/>
        </a:xfrm>
        <a:solidFill>
          <a:schemeClr val="bg1"/>
        </a:solidFill>
        <a:effectLst>
          <a:outerShdw blurRad="50800" dist="38100" algn="l" rotWithShape="0">
            <a:prstClr val="black">
              <a:alpha val="40000"/>
            </a:prstClr>
          </a:outerShdw>
        </a:effectLst>
      </xdr:grpSpPr>
      <xdr:sp macro="" textlink="">
        <xdr:nvSpPr>
          <xdr:cNvPr id="16" name="Rectangle: Rounded Corners 15">
            <a:extLst>
              <a:ext uri="{FF2B5EF4-FFF2-40B4-BE49-F238E27FC236}">
                <a16:creationId xmlns:a16="http://schemas.microsoft.com/office/drawing/2014/main" id="{00FC408A-FCB5-432D-B64A-7ACF71761C72}"/>
              </a:ext>
            </a:extLst>
          </xdr:cNvPr>
          <xdr:cNvSpPr/>
        </xdr:nvSpPr>
        <xdr:spPr>
          <a:xfrm>
            <a:off x="2486025" y="571500"/>
            <a:ext cx="1619251" cy="4762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Calculations!B7">
        <xdr:nvSpPr>
          <xdr:cNvPr id="17" name="TextBox 16">
            <a:extLst>
              <a:ext uri="{FF2B5EF4-FFF2-40B4-BE49-F238E27FC236}">
                <a16:creationId xmlns:a16="http://schemas.microsoft.com/office/drawing/2014/main" id="{452EF6FA-1CE1-E556-E365-4EAD555A9517}"/>
              </a:ext>
            </a:extLst>
          </xdr:cNvPr>
          <xdr:cNvSpPr txBox="1"/>
        </xdr:nvSpPr>
        <xdr:spPr>
          <a:xfrm>
            <a:off x="2891767" y="599104"/>
            <a:ext cx="809625" cy="238125"/>
          </a:xfrm>
          <a:prstGeom prst="rect">
            <a:avLst/>
          </a:prstGeom>
          <a:grp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430273-882A-4913-B0B1-5D10DFC8B0B7}" type="TxLink">
              <a:rPr lang="en-US" sz="2400" b="1" i="0" u="none" strike="noStrike">
                <a:solidFill>
                  <a:srgbClr val="000000"/>
                </a:solidFill>
                <a:latin typeface="Calibri"/>
                <a:cs typeface="Calibri"/>
              </a:rPr>
              <a:pPr algn="ctr"/>
              <a:t>1233</a:t>
            </a:fld>
            <a:endParaRPr lang="en-US" sz="2400" b="1"/>
          </a:p>
        </xdr:txBody>
      </xdr:sp>
      <xdr:sp macro="" textlink="">
        <xdr:nvSpPr>
          <xdr:cNvPr id="18" name="TextBox 17">
            <a:extLst>
              <a:ext uri="{FF2B5EF4-FFF2-40B4-BE49-F238E27FC236}">
                <a16:creationId xmlns:a16="http://schemas.microsoft.com/office/drawing/2014/main" id="{63D15BF5-EC0D-482D-50F1-B1F383B8B43F}"/>
              </a:ext>
            </a:extLst>
          </xdr:cNvPr>
          <xdr:cNvSpPr txBox="1"/>
        </xdr:nvSpPr>
        <xdr:spPr>
          <a:xfrm>
            <a:off x="2535980" y="857461"/>
            <a:ext cx="1413005" cy="171240"/>
          </a:xfrm>
          <a:prstGeom prst="rect">
            <a:avLst/>
          </a:prstGeom>
          <a:grp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Active Employees</a:t>
            </a:r>
            <a:endParaRPr lang="en-KE" sz="1600" b="1"/>
          </a:p>
        </xdr:txBody>
      </xdr:sp>
    </xdr:grpSp>
    <xdr:clientData/>
  </xdr:twoCellAnchor>
  <xdr:twoCellAnchor>
    <xdr:from>
      <xdr:col>10</xdr:col>
      <xdr:colOff>555385</xdr:colOff>
      <xdr:row>2</xdr:row>
      <xdr:rowOff>136070</xdr:rowOff>
    </xdr:from>
    <xdr:to>
      <xdr:col>14</xdr:col>
      <xdr:colOff>233337</xdr:colOff>
      <xdr:row>7</xdr:row>
      <xdr:rowOff>95251</xdr:rowOff>
    </xdr:to>
    <xdr:grpSp>
      <xdr:nvGrpSpPr>
        <xdr:cNvPr id="32" name="Group 31">
          <a:extLst>
            <a:ext uri="{FF2B5EF4-FFF2-40B4-BE49-F238E27FC236}">
              <a16:creationId xmlns:a16="http://schemas.microsoft.com/office/drawing/2014/main" id="{919E45CA-3502-A93C-B897-547ED7037A64}"/>
            </a:ext>
          </a:extLst>
        </xdr:cNvPr>
        <xdr:cNvGrpSpPr/>
      </xdr:nvGrpSpPr>
      <xdr:grpSpPr>
        <a:xfrm>
          <a:off x="6814671" y="517070"/>
          <a:ext cx="2127237" cy="911681"/>
          <a:chOff x="4415860" y="476250"/>
          <a:chExt cx="1619251" cy="476250"/>
        </a:xfrm>
        <a:solidFill>
          <a:schemeClr val="bg1"/>
        </a:solidFill>
        <a:effectLst>
          <a:outerShdw blurRad="50800" dist="38100" algn="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E6C62A90-35BC-4A69-8865-F6702E85502C}"/>
              </a:ext>
            </a:extLst>
          </xdr:cNvPr>
          <xdr:cNvSpPr/>
        </xdr:nvSpPr>
        <xdr:spPr>
          <a:xfrm>
            <a:off x="4415860" y="476250"/>
            <a:ext cx="1619251" cy="4762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KE" sz="1100"/>
          </a:p>
        </xdr:txBody>
      </xdr:sp>
      <xdr:sp macro="" textlink="Calculations!B10">
        <xdr:nvSpPr>
          <xdr:cNvPr id="19" name="TextBox 18">
            <a:extLst>
              <a:ext uri="{FF2B5EF4-FFF2-40B4-BE49-F238E27FC236}">
                <a16:creationId xmlns:a16="http://schemas.microsoft.com/office/drawing/2014/main" id="{967E51D4-837A-E92D-8465-8BF7E3BC0698}"/>
              </a:ext>
            </a:extLst>
          </xdr:cNvPr>
          <xdr:cNvSpPr txBox="1"/>
        </xdr:nvSpPr>
        <xdr:spPr>
          <a:xfrm>
            <a:off x="4627629" y="504825"/>
            <a:ext cx="1152525" cy="228600"/>
          </a:xfrm>
          <a:prstGeom prst="rect">
            <a:avLst/>
          </a:prstGeom>
          <a:grp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40BFC7-6741-467A-BFD5-E8E54A7F3A11}" type="TxLink">
              <a:rPr lang="en-US" sz="2400" b="1" i="0" u="none" strike="noStrike">
                <a:solidFill>
                  <a:srgbClr val="000000"/>
                </a:solidFill>
                <a:latin typeface="Calibri"/>
                <a:cs typeface="Calibri"/>
              </a:rPr>
              <a:pPr algn="ctr"/>
              <a:t>237</a:t>
            </a:fld>
            <a:endParaRPr lang="en-KE" sz="2400" b="1"/>
          </a:p>
        </xdr:txBody>
      </xdr:sp>
      <xdr:sp macro="" textlink="">
        <xdr:nvSpPr>
          <xdr:cNvPr id="20" name="TextBox 19">
            <a:extLst>
              <a:ext uri="{FF2B5EF4-FFF2-40B4-BE49-F238E27FC236}">
                <a16:creationId xmlns:a16="http://schemas.microsoft.com/office/drawing/2014/main" id="{BEE6573B-1EC0-339F-561A-CF662099D2D7}"/>
              </a:ext>
            </a:extLst>
          </xdr:cNvPr>
          <xdr:cNvSpPr txBox="1"/>
        </xdr:nvSpPr>
        <xdr:spPr>
          <a:xfrm>
            <a:off x="4522204" y="744934"/>
            <a:ext cx="1412998" cy="177802"/>
          </a:xfrm>
          <a:prstGeom prst="rect">
            <a:avLst/>
          </a:prstGeom>
          <a:grp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Employees Left</a:t>
            </a:r>
            <a:endParaRPr lang="en-KE" sz="1600" b="1"/>
          </a:p>
        </xdr:txBody>
      </xdr:sp>
    </xdr:grpSp>
    <xdr:clientData/>
  </xdr:twoCellAnchor>
  <xdr:twoCellAnchor>
    <xdr:from>
      <xdr:col>14</xdr:col>
      <xdr:colOff>333056</xdr:colOff>
      <xdr:row>2</xdr:row>
      <xdr:rowOff>142872</xdr:rowOff>
    </xdr:from>
    <xdr:to>
      <xdr:col>18</xdr:col>
      <xdr:colOff>2724</xdr:colOff>
      <xdr:row>7</xdr:row>
      <xdr:rowOff>95249</xdr:rowOff>
    </xdr:to>
    <xdr:grpSp>
      <xdr:nvGrpSpPr>
        <xdr:cNvPr id="33" name="Group 32">
          <a:extLst>
            <a:ext uri="{FF2B5EF4-FFF2-40B4-BE49-F238E27FC236}">
              <a16:creationId xmlns:a16="http://schemas.microsoft.com/office/drawing/2014/main" id="{6DF81D35-F77B-EB26-3654-E437AFBC3255}"/>
            </a:ext>
          </a:extLst>
        </xdr:cNvPr>
        <xdr:cNvGrpSpPr/>
      </xdr:nvGrpSpPr>
      <xdr:grpSpPr>
        <a:xfrm>
          <a:off x="9041627" y="523872"/>
          <a:ext cx="2118954" cy="904877"/>
          <a:chOff x="6181725" y="971550"/>
          <a:chExt cx="1619251" cy="476250"/>
        </a:xfrm>
        <a:solidFill>
          <a:schemeClr val="bg1"/>
        </a:solidFill>
        <a:effectLst>
          <a:outerShdw blurRad="50800" dist="38100" algn="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AF2B6394-D1D7-4C27-A9F9-B32B3537B043}"/>
              </a:ext>
            </a:extLst>
          </xdr:cNvPr>
          <xdr:cNvSpPr/>
        </xdr:nvSpPr>
        <xdr:spPr>
          <a:xfrm>
            <a:off x="6181725" y="971550"/>
            <a:ext cx="1619251" cy="4762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KE" sz="1100"/>
          </a:p>
        </xdr:txBody>
      </xdr:sp>
      <xdr:sp macro="" textlink="Calculations!B13">
        <xdr:nvSpPr>
          <xdr:cNvPr id="21" name="TextBox 20">
            <a:extLst>
              <a:ext uri="{FF2B5EF4-FFF2-40B4-BE49-F238E27FC236}">
                <a16:creationId xmlns:a16="http://schemas.microsoft.com/office/drawing/2014/main" id="{5B0DD589-43BE-6016-282C-C5F181EAEE70}"/>
              </a:ext>
            </a:extLst>
          </xdr:cNvPr>
          <xdr:cNvSpPr txBox="1"/>
        </xdr:nvSpPr>
        <xdr:spPr>
          <a:xfrm>
            <a:off x="6477000" y="981075"/>
            <a:ext cx="1104900" cy="219075"/>
          </a:xfrm>
          <a:prstGeom prst="rect">
            <a:avLst/>
          </a:prstGeom>
          <a:grp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F3D80F-193F-498B-B85E-422B2282414E}" type="TxLink">
              <a:rPr lang="en-US" sz="2400" b="1" i="0" u="none" strike="noStrike">
                <a:solidFill>
                  <a:srgbClr val="000000"/>
                </a:solidFill>
                <a:latin typeface="Calibri"/>
                <a:cs typeface="Calibri"/>
              </a:rPr>
              <a:pPr algn="ctr"/>
              <a:t>16.12%</a:t>
            </a:fld>
            <a:endParaRPr lang="en-KE" sz="2400" b="1"/>
          </a:p>
        </xdr:txBody>
      </xdr:sp>
      <xdr:sp macro="" textlink="">
        <xdr:nvSpPr>
          <xdr:cNvPr id="22" name="TextBox 21">
            <a:extLst>
              <a:ext uri="{FF2B5EF4-FFF2-40B4-BE49-F238E27FC236}">
                <a16:creationId xmlns:a16="http://schemas.microsoft.com/office/drawing/2014/main" id="{18C40ACF-D3B8-B430-C622-C8206614C3B1}"/>
              </a:ext>
            </a:extLst>
          </xdr:cNvPr>
          <xdr:cNvSpPr txBox="1"/>
        </xdr:nvSpPr>
        <xdr:spPr>
          <a:xfrm>
            <a:off x="6333751" y="1241186"/>
            <a:ext cx="1300338" cy="200025"/>
          </a:xfrm>
          <a:prstGeom prst="rect">
            <a:avLst/>
          </a:prstGeom>
          <a:grp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Attrition Rate</a:t>
            </a:r>
            <a:endParaRPr lang="en-KE" sz="1600" b="1"/>
          </a:p>
        </xdr:txBody>
      </xdr:sp>
    </xdr:grpSp>
    <xdr:clientData/>
  </xdr:twoCellAnchor>
  <xdr:twoCellAnchor>
    <xdr:from>
      <xdr:col>18</xdr:col>
      <xdr:colOff>102443</xdr:colOff>
      <xdr:row>2</xdr:row>
      <xdr:rowOff>151038</xdr:rowOff>
    </xdr:from>
    <xdr:to>
      <xdr:col>21</xdr:col>
      <xdr:colOff>372066</xdr:colOff>
      <xdr:row>7</xdr:row>
      <xdr:rowOff>95249</xdr:rowOff>
    </xdr:to>
    <xdr:grpSp>
      <xdr:nvGrpSpPr>
        <xdr:cNvPr id="34" name="Group 33">
          <a:extLst>
            <a:ext uri="{FF2B5EF4-FFF2-40B4-BE49-F238E27FC236}">
              <a16:creationId xmlns:a16="http://schemas.microsoft.com/office/drawing/2014/main" id="{E112789B-B932-79DE-7119-521BBBDE72DE}"/>
            </a:ext>
          </a:extLst>
        </xdr:cNvPr>
        <xdr:cNvGrpSpPr/>
      </xdr:nvGrpSpPr>
      <xdr:grpSpPr>
        <a:xfrm>
          <a:off x="11260300" y="532038"/>
          <a:ext cx="2106587" cy="896711"/>
          <a:chOff x="752475" y="2200275"/>
          <a:chExt cx="1619251" cy="476250"/>
        </a:xfrm>
        <a:solidFill>
          <a:schemeClr val="bg1"/>
        </a:solidFill>
        <a:effectLst>
          <a:outerShdw blurRad="50800" dist="38100" algn="l" rotWithShape="0">
            <a:prstClr val="black">
              <a:alpha val="40000"/>
            </a:prstClr>
          </a:outerShdw>
        </a:effectLst>
      </xdr:grpSpPr>
      <xdr:sp macro="" textlink="">
        <xdr:nvSpPr>
          <xdr:cNvPr id="13" name="Rectangle: Rounded Corners 12">
            <a:extLst>
              <a:ext uri="{FF2B5EF4-FFF2-40B4-BE49-F238E27FC236}">
                <a16:creationId xmlns:a16="http://schemas.microsoft.com/office/drawing/2014/main" id="{4DE7BD37-9231-4A00-A166-6879D80DCD16}"/>
              </a:ext>
            </a:extLst>
          </xdr:cNvPr>
          <xdr:cNvSpPr/>
        </xdr:nvSpPr>
        <xdr:spPr>
          <a:xfrm>
            <a:off x="752475" y="2200275"/>
            <a:ext cx="1619251" cy="4762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sp macro="" textlink="Calculations!B16">
        <xdr:nvSpPr>
          <xdr:cNvPr id="24" name="TextBox 23">
            <a:extLst>
              <a:ext uri="{FF2B5EF4-FFF2-40B4-BE49-F238E27FC236}">
                <a16:creationId xmlns:a16="http://schemas.microsoft.com/office/drawing/2014/main" id="{074E2A77-D496-6B77-5034-EE3C49466A56}"/>
              </a:ext>
            </a:extLst>
          </xdr:cNvPr>
          <xdr:cNvSpPr txBox="1"/>
        </xdr:nvSpPr>
        <xdr:spPr>
          <a:xfrm>
            <a:off x="1114425" y="2238375"/>
            <a:ext cx="866775" cy="200025"/>
          </a:xfrm>
          <a:prstGeom prst="rect">
            <a:avLst/>
          </a:prstGeom>
          <a:grp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614E07-F45D-4581-BB3E-5562508625A2}" type="TxLink">
              <a:rPr lang="en-US" sz="2400" b="1" i="0" u="none" strike="noStrike">
                <a:solidFill>
                  <a:srgbClr val="000000"/>
                </a:solidFill>
                <a:latin typeface="Calibri"/>
                <a:cs typeface="Calibri"/>
              </a:rPr>
              <a:pPr algn="ctr"/>
              <a:t>37</a:t>
            </a:fld>
            <a:endParaRPr lang="en-KE" sz="2400" b="1"/>
          </a:p>
        </xdr:txBody>
      </xdr:sp>
      <xdr:sp macro="" textlink="">
        <xdr:nvSpPr>
          <xdr:cNvPr id="25" name="TextBox 24">
            <a:extLst>
              <a:ext uri="{FF2B5EF4-FFF2-40B4-BE49-F238E27FC236}">
                <a16:creationId xmlns:a16="http://schemas.microsoft.com/office/drawing/2014/main" id="{22D349D6-67F3-5D23-C631-5AE7AF7B5F22}"/>
              </a:ext>
            </a:extLst>
          </xdr:cNvPr>
          <xdr:cNvSpPr txBox="1"/>
        </xdr:nvSpPr>
        <xdr:spPr>
          <a:xfrm>
            <a:off x="1028627" y="2466975"/>
            <a:ext cx="1095375" cy="200025"/>
          </a:xfrm>
          <a:prstGeom prst="rect">
            <a:avLst/>
          </a:prstGeom>
          <a:grp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Average Age</a:t>
            </a:r>
            <a:endParaRPr lang="en-KE" sz="1600" b="1"/>
          </a:p>
        </xdr:txBody>
      </xdr:sp>
    </xdr:grpSp>
    <xdr:clientData/>
  </xdr:twoCellAnchor>
  <xdr:twoCellAnchor>
    <xdr:from>
      <xdr:col>21</xdr:col>
      <xdr:colOff>471785</xdr:colOff>
      <xdr:row>2</xdr:row>
      <xdr:rowOff>108859</xdr:rowOff>
    </xdr:from>
    <xdr:to>
      <xdr:col>25</xdr:col>
      <xdr:colOff>131604</xdr:colOff>
      <xdr:row>7</xdr:row>
      <xdr:rowOff>81643</xdr:rowOff>
    </xdr:to>
    <xdr:grpSp>
      <xdr:nvGrpSpPr>
        <xdr:cNvPr id="54" name="Group 53">
          <a:extLst>
            <a:ext uri="{FF2B5EF4-FFF2-40B4-BE49-F238E27FC236}">
              <a16:creationId xmlns:a16="http://schemas.microsoft.com/office/drawing/2014/main" id="{0BF2CE81-5139-86D8-84E4-FAF05476D412}"/>
            </a:ext>
          </a:extLst>
        </xdr:cNvPr>
        <xdr:cNvGrpSpPr/>
      </xdr:nvGrpSpPr>
      <xdr:grpSpPr>
        <a:xfrm>
          <a:off x="13466606" y="489859"/>
          <a:ext cx="2109105" cy="925284"/>
          <a:chOff x="13049252" y="435430"/>
          <a:chExt cx="1982440" cy="925284"/>
        </a:xfrm>
      </xdr:grpSpPr>
      <xdr:sp macro="" textlink="">
        <xdr:nvSpPr>
          <xdr:cNvPr id="23" name="Rectangle: Rounded Corners 22">
            <a:extLst>
              <a:ext uri="{FF2B5EF4-FFF2-40B4-BE49-F238E27FC236}">
                <a16:creationId xmlns:a16="http://schemas.microsoft.com/office/drawing/2014/main" id="{DD4F1AE0-5EBF-4BE4-B23F-F518441D5625}"/>
              </a:ext>
            </a:extLst>
          </xdr:cNvPr>
          <xdr:cNvSpPr/>
        </xdr:nvSpPr>
        <xdr:spPr>
          <a:xfrm>
            <a:off x="13049252" y="435430"/>
            <a:ext cx="1982440" cy="9252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sp macro="" textlink="">
        <xdr:nvSpPr>
          <xdr:cNvPr id="27" name="TextBox 26">
            <a:extLst>
              <a:ext uri="{FF2B5EF4-FFF2-40B4-BE49-F238E27FC236}">
                <a16:creationId xmlns:a16="http://schemas.microsoft.com/office/drawing/2014/main" id="{F9BC0F71-68B6-C30F-43FC-A19C91EF3E7B}"/>
              </a:ext>
            </a:extLst>
          </xdr:cNvPr>
          <xdr:cNvSpPr txBox="1"/>
        </xdr:nvSpPr>
        <xdr:spPr>
          <a:xfrm>
            <a:off x="13076465" y="906780"/>
            <a:ext cx="1945821" cy="331470"/>
          </a:xfrm>
          <a:prstGeom prst="rect">
            <a:avLst/>
          </a:prstGeom>
          <a:solidFill>
            <a:schemeClr val="bg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Avg Monthly Income</a:t>
            </a:r>
            <a:endParaRPr lang="en-KE" sz="1600" b="1"/>
          </a:p>
        </xdr:txBody>
      </xdr:sp>
      <xdr:sp macro="" textlink="Calculations!B19">
        <xdr:nvSpPr>
          <xdr:cNvPr id="26" name="TextBox 25">
            <a:extLst>
              <a:ext uri="{FF2B5EF4-FFF2-40B4-BE49-F238E27FC236}">
                <a16:creationId xmlns:a16="http://schemas.microsoft.com/office/drawing/2014/main" id="{D206D112-9B09-09D1-40FC-15A0F5962630}"/>
              </a:ext>
            </a:extLst>
          </xdr:cNvPr>
          <xdr:cNvSpPr txBox="1"/>
        </xdr:nvSpPr>
        <xdr:spPr>
          <a:xfrm>
            <a:off x="13198929" y="462644"/>
            <a:ext cx="1673679" cy="421821"/>
          </a:xfrm>
          <a:prstGeom prst="rect">
            <a:avLst/>
          </a:prstGeom>
          <a:solidFill>
            <a:schemeClr val="bg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8EDF56-6C1A-44D2-9D10-FFA8D8A37BC7}" type="TxLink">
              <a:rPr lang="en-US" sz="2400" b="1" i="0" u="none" strike="noStrike">
                <a:solidFill>
                  <a:srgbClr val="000000"/>
                </a:solidFill>
                <a:latin typeface="Calibri"/>
                <a:cs typeface="Calibri"/>
              </a:rPr>
              <a:pPr algn="ctr"/>
              <a:t> $6,502.93 </a:t>
            </a:fld>
            <a:endParaRPr lang="en-KE" sz="2400" b="1"/>
          </a:p>
        </xdr:txBody>
      </xdr:sp>
    </xdr:grpSp>
    <xdr:clientData/>
  </xdr:twoCellAnchor>
  <xdr:twoCellAnchor>
    <xdr:from>
      <xdr:col>25</xdr:col>
      <xdr:colOff>231322</xdr:colOff>
      <xdr:row>2</xdr:row>
      <xdr:rowOff>87084</xdr:rowOff>
    </xdr:from>
    <xdr:to>
      <xdr:col>28</xdr:col>
      <xdr:colOff>519054</xdr:colOff>
      <xdr:row>7</xdr:row>
      <xdr:rowOff>54428</xdr:rowOff>
    </xdr:to>
    <xdr:grpSp>
      <xdr:nvGrpSpPr>
        <xdr:cNvPr id="36" name="Group 35">
          <a:extLst>
            <a:ext uri="{FF2B5EF4-FFF2-40B4-BE49-F238E27FC236}">
              <a16:creationId xmlns:a16="http://schemas.microsoft.com/office/drawing/2014/main" id="{60678874-B8D7-AE4F-DBE9-F71C737DC85C}"/>
            </a:ext>
          </a:extLst>
        </xdr:cNvPr>
        <xdr:cNvGrpSpPr/>
      </xdr:nvGrpSpPr>
      <xdr:grpSpPr>
        <a:xfrm>
          <a:off x="15675429" y="468084"/>
          <a:ext cx="2124696" cy="919844"/>
          <a:chOff x="4438650" y="2124075"/>
          <a:chExt cx="1619251" cy="476250"/>
        </a:xfrm>
        <a:solidFill>
          <a:schemeClr val="bg1"/>
        </a:solidFill>
        <a:effectLst>
          <a:outerShdw blurRad="50800" dist="38100" algn="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5285E55D-C56C-46E6-A8DE-7DD8C6B8A644}"/>
              </a:ext>
            </a:extLst>
          </xdr:cNvPr>
          <xdr:cNvSpPr/>
        </xdr:nvSpPr>
        <xdr:spPr>
          <a:xfrm>
            <a:off x="4438650" y="2124075"/>
            <a:ext cx="1619251" cy="4762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800"/>
          </a:p>
        </xdr:txBody>
      </xdr:sp>
      <xdr:sp macro="" textlink="">
        <xdr:nvSpPr>
          <xdr:cNvPr id="29" name="TextBox 28">
            <a:extLst>
              <a:ext uri="{FF2B5EF4-FFF2-40B4-BE49-F238E27FC236}">
                <a16:creationId xmlns:a16="http://schemas.microsoft.com/office/drawing/2014/main" id="{86AA0F31-E771-4676-B436-0C150A77934B}"/>
              </a:ext>
            </a:extLst>
          </xdr:cNvPr>
          <xdr:cNvSpPr txBox="1"/>
        </xdr:nvSpPr>
        <xdr:spPr>
          <a:xfrm>
            <a:off x="4470590" y="2381926"/>
            <a:ext cx="1574242" cy="177520"/>
          </a:xfrm>
          <a:prstGeom prst="rect">
            <a:avLst/>
          </a:prstGeom>
          <a:grp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Avg Years at Company</a:t>
            </a:r>
            <a:endParaRPr lang="en-KE" sz="1600" b="1"/>
          </a:p>
        </xdr:txBody>
      </xdr:sp>
      <xdr:sp macro="" textlink="Calculations!B22">
        <xdr:nvSpPr>
          <xdr:cNvPr id="28" name="TextBox 27">
            <a:extLst>
              <a:ext uri="{FF2B5EF4-FFF2-40B4-BE49-F238E27FC236}">
                <a16:creationId xmlns:a16="http://schemas.microsoft.com/office/drawing/2014/main" id="{45B0F881-E027-E767-8E64-98A61E5293EF}"/>
              </a:ext>
            </a:extLst>
          </xdr:cNvPr>
          <xdr:cNvSpPr txBox="1"/>
        </xdr:nvSpPr>
        <xdr:spPr>
          <a:xfrm>
            <a:off x="4633139" y="2150648"/>
            <a:ext cx="1000125" cy="275937"/>
          </a:xfrm>
          <a:prstGeom prst="rect">
            <a:avLst/>
          </a:prstGeom>
          <a:grp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C19402-93B2-4491-B374-3940348D3707}" type="TxLink">
              <a:rPr lang="en-US" sz="2400" b="1" i="0" u="none" strike="noStrike">
                <a:solidFill>
                  <a:srgbClr val="000000"/>
                </a:solidFill>
                <a:latin typeface="Calibri"/>
                <a:cs typeface="Calibri"/>
              </a:rPr>
              <a:pPr algn="ctr"/>
              <a:t>7.01</a:t>
            </a:fld>
            <a:endParaRPr lang="en-KE" sz="2400" b="1"/>
          </a:p>
        </xdr:txBody>
      </xdr:sp>
    </xdr:grpSp>
    <xdr:clientData/>
  </xdr:twoCellAnchor>
  <xdr:twoCellAnchor>
    <xdr:from>
      <xdr:col>4</xdr:col>
      <xdr:colOff>13609</xdr:colOff>
      <xdr:row>8</xdr:row>
      <xdr:rowOff>190498</xdr:rowOff>
    </xdr:from>
    <xdr:to>
      <xdr:col>11</xdr:col>
      <xdr:colOff>156484</xdr:colOff>
      <xdr:row>23</xdr:row>
      <xdr:rowOff>163286</xdr:rowOff>
    </xdr:to>
    <xdr:graphicFrame macro="">
      <xdr:nvGraphicFramePr>
        <xdr:cNvPr id="37" name="Chart 36">
          <a:extLst>
            <a:ext uri="{FF2B5EF4-FFF2-40B4-BE49-F238E27FC236}">
              <a16:creationId xmlns:a16="http://schemas.microsoft.com/office/drawing/2014/main" id="{4BF72469-0BA5-4BBD-9093-BFAD5F41A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281667</xdr:colOff>
      <xdr:row>8</xdr:row>
      <xdr:rowOff>187778</xdr:rowOff>
    </xdr:from>
    <xdr:to>
      <xdr:col>18</xdr:col>
      <xdr:colOff>367392</xdr:colOff>
      <xdr:row>23</xdr:row>
      <xdr:rowOff>176893</xdr:rowOff>
    </xdr:to>
    <xdr:graphicFrame macro="">
      <xdr:nvGraphicFramePr>
        <xdr:cNvPr id="38" name="Chart 37">
          <a:extLst>
            <a:ext uri="{FF2B5EF4-FFF2-40B4-BE49-F238E27FC236}">
              <a16:creationId xmlns:a16="http://schemas.microsoft.com/office/drawing/2014/main" id="{F1CF2F4E-9D28-40CB-B825-CDC787A61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27214</xdr:colOff>
      <xdr:row>9</xdr:row>
      <xdr:rowOff>1</xdr:rowOff>
    </xdr:from>
    <xdr:to>
      <xdr:col>28</xdr:col>
      <xdr:colOff>456322</xdr:colOff>
      <xdr:row>18</xdr:row>
      <xdr:rowOff>85501</xdr:rowOff>
    </xdr:to>
    <xdr:graphicFrame macro="">
      <xdr:nvGraphicFramePr>
        <xdr:cNvPr id="39" name="Chart 38">
          <a:extLst>
            <a:ext uri="{FF2B5EF4-FFF2-40B4-BE49-F238E27FC236}">
              <a16:creationId xmlns:a16="http://schemas.microsoft.com/office/drawing/2014/main" id="{BBC2D2F4-AA0C-42BA-B341-8E0ABAF46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56130</xdr:colOff>
      <xdr:row>20</xdr:row>
      <xdr:rowOff>15308</xdr:rowOff>
    </xdr:from>
    <xdr:to>
      <xdr:col>28</xdr:col>
      <xdr:colOff>485238</xdr:colOff>
      <xdr:row>29</xdr:row>
      <xdr:rowOff>100808</xdr:rowOff>
    </xdr:to>
    <xdr:graphicFrame macro="">
      <xdr:nvGraphicFramePr>
        <xdr:cNvPr id="40" name="Chart 39">
          <a:extLst>
            <a:ext uri="{FF2B5EF4-FFF2-40B4-BE49-F238E27FC236}">
              <a16:creationId xmlns:a16="http://schemas.microsoft.com/office/drawing/2014/main" id="{26BBAE1C-2B1E-4911-BA01-AFCE8EED1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81643</xdr:colOff>
      <xdr:row>31</xdr:row>
      <xdr:rowOff>66335</xdr:rowOff>
    </xdr:from>
    <xdr:to>
      <xdr:col>28</xdr:col>
      <xdr:colOff>510751</xdr:colOff>
      <xdr:row>40</xdr:row>
      <xdr:rowOff>151835</xdr:rowOff>
    </xdr:to>
    <xdr:graphicFrame macro="">
      <xdr:nvGraphicFramePr>
        <xdr:cNvPr id="41" name="Chart 40">
          <a:extLst>
            <a:ext uri="{FF2B5EF4-FFF2-40B4-BE49-F238E27FC236}">
              <a16:creationId xmlns:a16="http://schemas.microsoft.com/office/drawing/2014/main" id="{EF94141D-BD97-45FE-967C-DE95CEE41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312966</xdr:colOff>
      <xdr:row>26</xdr:row>
      <xdr:rowOff>13606</xdr:rowOff>
    </xdr:from>
    <xdr:to>
      <xdr:col>18</xdr:col>
      <xdr:colOff>381002</xdr:colOff>
      <xdr:row>40</xdr:row>
      <xdr:rowOff>163286</xdr:rowOff>
    </xdr:to>
    <xdr:graphicFrame macro="">
      <xdr:nvGraphicFramePr>
        <xdr:cNvPr id="42" name="Chart 41">
          <a:extLst>
            <a:ext uri="{FF2B5EF4-FFF2-40B4-BE49-F238E27FC236}">
              <a16:creationId xmlns:a16="http://schemas.microsoft.com/office/drawing/2014/main" id="{5A8C594D-0A00-4AE3-A4DD-32DAF421B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602117</xdr:colOff>
      <xdr:row>25</xdr:row>
      <xdr:rowOff>187100</xdr:rowOff>
    </xdr:from>
    <xdr:to>
      <xdr:col>11</xdr:col>
      <xdr:colOff>184718</xdr:colOff>
      <xdr:row>40</xdr:row>
      <xdr:rowOff>163286</xdr:rowOff>
    </xdr:to>
    <xdr:graphicFrame macro="">
      <xdr:nvGraphicFramePr>
        <xdr:cNvPr id="44" name="Chart 43">
          <a:extLst>
            <a:ext uri="{FF2B5EF4-FFF2-40B4-BE49-F238E27FC236}">
              <a16:creationId xmlns:a16="http://schemas.microsoft.com/office/drawing/2014/main" id="{54592A69-3DB9-4C09-840F-CC07CE4DD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68036</xdr:colOff>
      <xdr:row>2</xdr:row>
      <xdr:rowOff>156478</xdr:rowOff>
    </xdr:from>
    <xdr:to>
      <xdr:col>3</xdr:col>
      <xdr:colOff>557893</xdr:colOff>
      <xdr:row>10</xdr:row>
      <xdr:rowOff>72478</xdr:rowOff>
    </xdr:to>
    <mc:AlternateContent xmlns:mc="http://schemas.openxmlformats.org/markup-compatibility/2006">
      <mc:Choice xmlns:a14="http://schemas.microsoft.com/office/drawing/2010/main" Requires="a14">
        <xdr:graphicFrame macro="">
          <xdr:nvGraphicFramePr>
            <xdr:cNvPr id="49" name="Department">
              <a:extLst>
                <a:ext uri="{FF2B5EF4-FFF2-40B4-BE49-F238E27FC236}">
                  <a16:creationId xmlns:a16="http://schemas.microsoft.com/office/drawing/2014/main" id="{A1045B78-EE4D-4BAB-983E-ECA475F4E27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8036" y="537478"/>
              <a:ext cx="2326821" cy="14400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81642</xdr:colOff>
      <xdr:row>11</xdr:row>
      <xdr:rowOff>62933</xdr:rowOff>
    </xdr:from>
    <xdr:to>
      <xdr:col>3</xdr:col>
      <xdr:colOff>544286</xdr:colOff>
      <xdr:row>18</xdr:row>
      <xdr:rowOff>169433</xdr:rowOff>
    </xdr:to>
    <mc:AlternateContent xmlns:mc="http://schemas.openxmlformats.org/markup-compatibility/2006">
      <mc:Choice xmlns:a14="http://schemas.microsoft.com/office/drawing/2010/main" Requires="a14">
        <xdr:graphicFrame macro="">
          <xdr:nvGraphicFramePr>
            <xdr:cNvPr id="50" name="BusinessTravel">
              <a:extLst>
                <a:ext uri="{FF2B5EF4-FFF2-40B4-BE49-F238E27FC236}">
                  <a16:creationId xmlns:a16="http://schemas.microsoft.com/office/drawing/2014/main" id="{A397E0ED-3731-4A25-ADDA-4EB84D31F9B9}"/>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81642" y="2158433"/>
              <a:ext cx="2299608" cy="14400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81643</xdr:colOff>
      <xdr:row>19</xdr:row>
      <xdr:rowOff>159885</xdr:rowOff>
    </xdr:from>
    <xdr:to>
      <xdr:col>3</xdr:col>
      <xdr:colOff>530679</xdr:colOff>
      <xdr:row>27</xdr:row>
      <xdr:rowOff>75885</xdr:rowOff>
    </xdr:to>
    <mc:AlternateContent xmlns:mc="http://schemas.openxmlformats.org/markup-compatibility/2006">
      <mc:Choice xmlns:a14="http://schemas.microsoft.com/office/drawing/2010/main" Requires="a14">
        <xdr:graphicFrame macro="">
          <xdr:nvGraphicFramePr>
            <xdr:cNvPr id="51" name="OverTime">
              <a:extLst>
                <a:ext uri="{FF2B5EF4-FFF2-40B4-BE49-F238E27FC236}">
                  <a16:creationId xmlns:a16="http://schemas.microsoft.com/office/drawing/2014/main" id="{20B8449B-C215-4A5F-956C-1134F050D8CF}"/>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81643" y="3779385"/>
              <a:ext cx="2286000" cy="14400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247650</xdr:colOff>
      <xdr:row>30</xdr:row>
      <xdr:rowOff>9526</xdr:rowOff>
    </xdr:from>
    <xdr:to>
      <xdr:col>10</xdr:col>
      <xdr:colOff>0</xdr:colOff>
      <xdr:row>43</xdr:row>
      <xdr:rowOff>161926</xdr:rowOff>
    </xdr:to>
    <xdr:graphicFrame macro="">
      <xdr:nvGraphicFramePr>
        <xdr:cNvPr id="3" name="Chart 2">
          <a:extLst>
            <a:ext uri="{FF2B5EF4-FFF2-40B4-BE49-F238E27FC236}">
              <a16:creationId xmlns:a16="http://schemas.microsoft.com/office/drawing/2014/main" id="{00363529-B94C-2355-CB8C-B8DA83D7C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46</xdr:row>
      <xdr:rowOff>9524</xdr:rowOff>
    </xdr:from>
    <xdr:to>
      <xdr:col>9</xdr:col>
      <xdr:colOff>361950</xdr:colOff>
      <xdr:row>60</xdr:row>
      <xdr:rowOff>76199</xdr:rowOff>
    </xdr:to>
    <xdr:graphicFrame macro="">
      <xdr:nvGraphicFramePr>
        <xdr:cNvPr id="2" name="Chart 1">
          <a:extLst>
            <a:ext uri="{FF2B5EF4-FFF2-40B4-BE49-F238E27FC236}">
              <a16:creationId xmlns:a16="http://schemas.microsoft.com/office/drawing/2014/main" id="{F964B560-9B64-7826-0CA7-6E13CD245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219075</xdr:colOff>
      <xdr:row>63</xdr:row>
      <xdr:rowOff>9525</xdr:rowOff>
    </xdr:from>
    <xdr:to>
      <xdr:col>9</xdr:col>
      <xdr:colOff>361950</xdr:colOff>
      <xdr:row>71</xdr:row>
      <xdr:rowOff>9525</xdr:rowOff>
    </xdr:to>
    <xdr:graphicFrame macro="">
      <xdr:nvGraphicFramePr>
        <xdr:cNvPr id="7" name="Chart 6">
          <a:extLst>
            <a:ext uri="{FF2B5EF4-FFF2-40B4-BE49-F238E27FC236}">
              <a16:creationId xmlns:a16="http://schemas.microsoft.com/office/drawing/2014/main" id="{14D52339-85D8-12AF-414C-582F02E9D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238124</xdr:colOff>
      <xdr:row>73</xdr:row>
      <xdr:rowOff>9525</xdr:rowOff>
    </xdr:from>
    <xdr:to>
      <xdr:col>10</xdr:col>
      <xdr:colOff>19049</xdr:colOff>
      <xdr:row>82</xdr:row>
      <xdr:rowOff>161925</xdr:rowOff>
    </xdr:to>
    <xdr:graphicFrame macro="">
      <xdr:nvGraphicFramePr>
        <xdr:cNvPr id="8" name="Chart 7">
          <a:extLst>
            <a:ext uri="{FF2B5EF4-FFF2-40B4-BE49-F238E27FC236}">
              <a16:creationId xmlns:a16="http://schemas.microsoft.com/office/drawing/2014/main" id="{83E56D80-8770-B054-A438-703AD7F7F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252412</xdr:colOff>
      <xdr:row>85</xdr:row>
      <xdr:rowOff>0</xdr:rowOff>
    </xdr:from>
    <xdr:to>
      <xdr:col>10</xdr:col>
      <xdr:colOff>23812</xdr:colOff>
      <xdr:row>99</xdr:row>
      <xdr:rowOff>76200</xdr:rowOff>
    </xdr:to>
    <xdr:graphicFrame macro="">
      <xdr:nvGraphicFramePr>
        <xdr:cNvPr id="9" name="Chart 8">
          <a:extLst>
            <a:ext uri="{FF2B5EF4-FFF2-40B4-BE49-F238E27FC236}">
              <a16:creationId xmlns:a16="http://schemas.microsoft.com/office/drawing/2014/main" id="{4230B47D-B356-A263-3005-1C0DC696E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242886</xdr:colOff>
      <xdr:row>102</xdr:row>
      <xdr:rowOff>9524</xdr:rowOff>
    </xdr:from>
    <xdr:to>
      <xdr:col>9</xdr:col>
      <xdr:colOff>371474</xdr:colOff>
      <xdr:row>112</xdr:row>
      <xdr:rowOff>180975</xdr:rowOff>
    </xdr:to>
    <xdr:graphicFrame macro="">
      <xdr:nvGraphicFramePr>
        <xdr:cNvPr id="10" name="Chart 9">
          <a:extLst>
            <a:ext uri="{FF2B5EF4-FFF2-40B4-BE49-F238E27FC236}">
              <a16:creationId xmlns:a16="http://schemas.microsoft.com/office/drawing/2014/main" id="{7C3F3359-CEE9-3015-EAD6-E57339EAA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219074</xdr:colOff>
      <xdr:row>114</xdr:row>
      <xdr:rowOff>0</xdr:rowOff>
    </xdr:from>
    <xdr:to>
      <xdr:col>9</xdr:col>
      <xdr:colOff>352424</xdr:colOff>
      <xdr:row>125</xdr:row>
      <xdr:rowOff>104775</xdr:rowOff>
    </xdr:to>
    <xdr:graphicFrame macro="">
      <xdr:nvGraphicFramePr>
        <xdr:cNvPr id="11" name="Chart 10">
          <a:extLst>
            <a:ext uri="{FF2B5EF4-FFF2-40B4-BE49-F238E27FC236}">
              <a16:creationId xmlns:a16="http://schemas.microsoft.com/office/drawing/2014/main" id="{244960E8-4116-C420-902B-7758CAB36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209549</xdr:colOff>
      <xdr:row>126</xdr:row>
      <xdr:rowOff>0</xdr:rowOff>
    </xdr:from>
    <xdr:to>
      <xdr:col>9</xdr:col>
      <xdr:colOff>361949</xdr:colOff>
      <xdr:row>138</xdr:row>
      <xdr:rowOff>19050</xdr:rowOff>
    </xdr:to>
    <xdr:graphicFrame macro="">
      <xdr:nvGraphicFramePr>
        <xdr:cNvPr id="14" name="Chart 13">
          <a:extLst>
            <a:ext uri="{FF2B5EF4-FFF2-40B4-BE49-F238E27FC236}">
              <a16:creationId xmlns:a16="http://schemas.microsoft.com/office/drawing/2014/main" id="{621264F9-061B-356A-9CAD-36293DF85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s PC" refreshedDate="46219.809405902779" createdVersion="8" refreshedVersion="8" minRefreshableVersion="3" recordCount="1470" xr:uid="{6150D5C8-0813-4C04-A5D5-190977B24BC8}">
  <cacheSource type="worksheet">
    <worksheetSource name="HR_Data"/>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94387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n v="2"/>
    <x v="0"/>
    <x v="0"/>
    <x v="0"/>
    <n v="2"/>
    <x v="0"/>
    <n v="94"/>
    <n v="3"/>
    <n v="2"/>
    <x v="0"/>
    <n v="4"/>
    <x v="0"/>
    <n v="5993"/>
    <n v="19479"/>
    <n v="8"/>
    <s v="Y"/>
    <x v="0"/>
    <n v="11"/>
    <n v="3"/>
    <n v="1"/>
    <n v="80"/>
    <n v="0"/>
    <n v="8"/>
    <n v="0"/>
    <n v="1"/>
    <n v="6"/>
    <n v="4"/>
    <n v="0"/>
    <n v="5"/>
  </r>
  <r>
    <x v="1"/>
    <x v="1"/>
    <x v="1"/>
    <n v="279"/>
    <x v="1"/>
    <n v="8"/>
    <n v="1"/>
    <x v="0"/>
    <x v="0"/>
    <x v="1"/>
    <n v="3"/>
    <x v="1"/>
    <n v="61"/>
    <n v="2"/>
    <n v="2"/>
    <x v="1"/>
    <n v="2"/>
    <x v="1"/>
    <n v="5130"/>
    <n v="24907"/>
    <n v="1"/>
    <s v="Y"/>
    <x v="1"/>
    <n v="23"/>
    <n v="4"/>
    <n v="4"/>
    <n v="80"/>
    <n v="1"/>
    <n v="10"/>
    <n v="3"/>
    <n v="3"/>
    <n v="10"/>
    <n v="7"/>
    <n v="1"/>
    <n v="7"/>
  </r>
  <r>
    <x v="2"/>
    <x v="0"/>
    <x v="0"/>
    <n v="1373"/>
    <x v="1"/>
    <n v="2"/>
    <n v="2"/>
    <x v="1"/>
    <x v="0"/>
    <x v="2"/>
    <n v="4"/>
    <x v="1"/>
    <n v="92"/>
    <n v="2"/>
    <n v="1"/>
    <x v="2"/>
    <n v="3"/>
    <x v="0"/>
    <n v="2090"/>
    <n v="2396"/>
    <n v="6"/>
    <s v="Y"/>
    <x v="0"/>
    <n v="15"/>
    <n v="3"/>
    <n v="2"/>
    <n v="80"/>
    <n v="0"/>
    <n v="7"/>
    <n v="3"/>
    <n v="3"/>
    <n v="0"/>
    <n v="0"/>
    <n v="0"/>
    <n v="0"/>
  </r>
  <r>
    <x v="3"/>
    <x v="1"/>
    <x v="1"/>
    <n v="1392"/>
    <x v="1"/>
    <n v="3"/>
    <n v="4"/>
    <x v="0"/>
    <x v="0"/>
    <x v="3"/>
    <n v="4"/>
    <x v="0"/>
    <n v="56"/>
    <n v="3"/>
    <n v="1"/>
    <x v="1"/>
    <n v="3"/>
    <x v="1"/>
    <n v="2909"/>
    <n v="23159"/>
    <n v="1"/>
    <s v="Y"/>
    <x v="0"/>
    <n v="11"/>
    <n v="3"/>
    <n v="3"/>
    <n v="80"/>
    <n v="0"/>
    <n v="8"/>
    <n v="3"/>
    <n v="3"/>
    <n v="8"/>
    <n v="7"/>
    <n v="3"/>
    <n v="0"/>
  </r>
  <r>
    <x v="4"/>
    <x v="1"/>
    <x v="0"/>
    <n v="591"/>
    <x v="1"/>
    <n v="2"/>
    <n v="1"/>
    <x v="2"/>
    <x v="0"/>
    <x v="4"/>
    <n v="1"/>
    <x v="1"/>
    <n v="40"/>
    <n v="3"/>
    <n v="1"/>
    <x v="2"/>
    <n v="2"/>
    <x v="1"/>
    <n v="3468"/>
    <n v="16632"/>
    <n v="9"/>
    <s v="Y"/>
    <x v="1"/>
    <n v="12"/>
    <n v="3"/>
    <n v="4"/>
    <n v="80"/>
    <n v="1"/>
    <n v="6"/>
    <n v="3"/>
    <n v="3"/>
    <n v="2"/>
    <n v="2"/>
    <n v="2"/>
    <n v="2"/>
  </r>
  <r>
    <x v="5"/>
    <x v="1"/>
    <x v="1"/>
    <n v="1005"/>
    <x v="1"/>
    <n v="2"/>
    <n v="2"/>
    <x v="0"/>
    <x v="0"/>
    <x v="5"/>
    <n v="4"/>
    <x v="1"/>
    <n v="79"/>
    <n v="3"/>
    <n v="1"/>
    <x v="2"/>
    <n v="4"/>
    <x v="0"/>
    <n v="3068"/>
    <n v="11864"/>
    <n v="0"/>
    <s v="Y"/>
    <x v="1"/>
    <n v="13"/>
    <n v="3"/>
    <n v="3"/>
    <n v="80"/>
    <n v="0"/>
    <n v="8"/>
    <n v="2"/>
    <n v="2"/>
    <n v="7"/>
    <n v="7"/>
    <n v="3"/>
    <n v="6"/>
  </r>
  <r>
    <x v="6"/>
    <x v="1"/>
    <x v="0"/>
    <n v="1324"/>
    <x v="1"/>
    <n v="3"/>
    <n v="3"/>
    <x v="2"/>
    <x v="0"/>
    <x v="6"/>
    <n v="3"/>
    <x v="0"/>
    <n v="81"/>
    <n v="4"/>
    <n v="1"/>
    <x v="2"/>
    <n v="1"/>
    <x v="1"/>
    <n v="2670"/>
    <n v="9964"/>
    <n v="4"/>
    <s v="Y"/>
    <x v="0"/>
    <n v="20"/>
    <n v="4"/>
    <n v="1"/>
    <n v="80"/>
    <n v="3"/>
    <n v="12"/>
    <n v="3"/>
    <n v="2"/>
    <n v="1"/>
    <n v="0"/>
    <n v="0"/>
    <n v="0"/>
  </r>
  <r>
    <x v="7"/>
    <x v="1"/>
    <x v="0"/>
    <n v="1358"/>
    <x v="1"/>
    <n v="24"/>
    <n v="1"/>
    <x v="0"/>
    <x v="0"/>
    <x v="7"/>
    <n v="4"/>
    <x v="1"/>
    <n v="67"/>
    <n v="3"/>
    <n v="1"/>
    <x v="2"/>
    <n v="3"/>
    <x v="2"/>
    <n v="2693"/>
    <n v="13335"/>
    <n v="1"/>
    <s v="Y"/>
    <x v="1"/>
    <n v="22"/>
    <n v="4"/>
    <n v="2"/>
    <n v="80"/>
    <n v="1"/>
    <n v="1"/>
    <n v="2"/>
    <n v="3"/>
    <n v="1"/>
    <n v="0"/>
    <n v="0"/>
    <n v="0"/>
  </r>
  <r>
    <x v="8"/>
    <x v="1"/>
    <x v="1"/>
    <n v="216"/>
    <x v="1"/>
    <n v="23"/>
    <n v="3"/>
    <x v="0"/>
    <x v="0"/>
    <x v="8"/>
    <n v="4"/>
    <x v="1"/>
    <n v="44"/>
    <n v="2"/>
    <n v="3"/>
    <x v="3"/>
    <n v="3"/>
    <x v="0"/>
    <n v="9526"/>
    <n v="8787"/>
    <n v="0"/>
    <s v="Y"/>
    <x v="1"/>
    <n v="21"/>
    <n v="4"/>
    <n v="2"/>
    <n v="80"/>
    <n v="0"/>
    <n v="10"/>
    <n v="2"/>
    <n v="3"/>
    <n v="9"/>
    <n v="7"/>
    <n v="1"/>
    <n v="8"/>
  </r>
  <r>
    <x v="9"/>
    <x v="1"/>
    <x v="0"/>
    <n v="1299"/>
    <x v="1"/>
    <n v="27"/>
    <n v="3"/>
    <x v="2"/>
    <x v="0"/>
    <x v="9"/>
    <n v="3"/>
    <x v="1"/>
    <n v="94"/>
    <n v="3"/>
    <n v="2"/>
    <x v="4"/>
    <n v="3"/>
    <x v="1"/>
    <n v="5237"/>
    <n v="16577"/>
    <n v="6"/>
    <s v="Y"/>
    <x v="1"/>
    <n v="13"/>
    <n v="3"/>
    <n v="2"/>
    <n v="80"/>
    <n v="2"/>
    <n v="17"/>
    <n v="3"/>
    <n v="2"/>
    <n v="7"/>
    <n v="7"/>
    <n v="7"/>
    <n v="7"/>
  </r>
  <r>
    <x v="10"/>
    <x v="1"/>
    <x v="0"/>
    <n v="809"/>
    <x v="1"/>
    <n v="16"/>
    <n v="3"/>
    <x v="2"/>
    <x v="0"/>
    <x v="10"/>
    <n v="1"/>
    <x v="1"/>
    <n v="84"/>
    <n v="4"/>
    <n v="1"/>
    <x v="2"/>
    <n v="2"/>
    <x v="1"/>
    <n v="2426"/>
    <n v="16479"/>
    <n v="0"/>
    <s v="Y"/>
    <x v="1"/>
    <n v="13"/>
    <n v="3"/>
    <n v="3"/>
    <n v="80"/>
    <n v="1"/>
    <n v="6"/>
    <n v="5"/>
    <n v="3"/>
    <n v="5"/>
    <n v="4"/>
    <n v="0"/>
    <n v="3"/>
  </r>
  <r>
    <x v="11"/>
    <x v="1"/>
    <x v="0"/>
    <n v="153"/>
    <x v="1"/>
    <n v="15"/>
    <n v="2"/>
    <x v="0"/>
    <x v="0"/>
    <x v="11"/>
    <n v="4"/>
    <x v="0"/>
    <n v="49"/>
    <n v="2"/>
    <n v="2"/>
    <x v="2"/>
    <n v="3"/>
    <x v="0"/>
    <n v="4193"/>
    <n v="12682"/>
    <n v="0"/>
    <s v="Y"/>
    <x v="0"/>
    <n v="12"/>
    <n v="3"/>
    <n v="4"/>
    <n v="80"/>
    <n v="0"/>
    <n v="10"/>
    <n v="3"/>
    <n v="3"/>
    <n v="9"/>
    <n v="5"/>
    <n v="0"/>
    <n v="8"/>
  </r>
  <r>
    <x v="12"/>
    <x v="1"/>
    <x v="0"/>
    <n v="670"/>
    <x v="1"/>
    <n v="26"/>
    <n v="1"/>
    <x v="0"/>
    <x v="0"/>
    <x v="12"/>
    <n v="1"/>
    <x v="1"/>
    <n v="31"/>
    <n v="3"/>
    <n v="1"/>
    <x v="1"/>
    <n v="3"/>
    <x v="2"/>
    <n v="2911"/>
    <n v="15170"/>
    <n v="1"/>
    <s v="Y"/>
    <x v="1"/>
    <n v="17"/>
    <n v="3"/>
    <n v="4"/>
    <n v="80"/>
    <n v="1"/>
    <n v="5"/>
    <n v="1"/>
    <n v="2"/>
    <n v="5"/>
    <n v="2"/>
    <n v="4"/>
    <n v="3"/>
  </r>
  <r>
    <x v="13"/>
    <x v="1"/>
    <x v="0"/>
    <n v="1346"/>
    <x v="1"/>
    <n v="19"/>
    <n v="2"/>
    <x v="2"/>
    <x v="0"/>
    <x v="13"/>
    <n v="2"/>
    <x v="1"/>
    <n v="93"/>
    <n v="3"/>
    <n v="1"/>
    <x v="2"/>
    <n v="4"/>
    <x v="2"/>
    <n v="2661"/>
    <n v="8758"/>
    <n v="0"/>
    <s v="Y"/>
    <x v="1"/>
    <n v="11"/>
    <n v="3"/>
    <n v="3"/>
    <n v="80"/>
    <n v="1"/>
    <n v="3"/>
    <n v="2"/>
    <n v="3"/>
    <n v="2"/>
    <n v="2"/>
    <n v="1"/>
    <n v="2"/>
  </r>
  <r>
    <x v="14"/>
    <x v="0"/>
    <x v="0"/>
    <n v="103"/>
    <x v="1"/>
    <n v="24"/>
    <n v="3"/>
    <x v="0"/>
    <x v="0"/>
    <x v="14"/>
    <n v="3"/>
    <x v="1"/>
    <n v="50"/>
    <n v="2"/>
    <n v="1"/>
    <x v="2"/>
    <n v="3"/>
    <x v="0"/>
    <n v="2028"/>
    <n v="12947"/>
    <n v="5"/>
    <s v="Y"/>
    <x v="0"/>
    <n v="14"/>
    <n v="3"/>
    <n v="2"/>
    <n v="80"/>
    <n v="0"/>
    <n v="6"/>
    <n v="4"/>
    <n v="3"/>
    <n v="4"/>
    <n v="2"/>
    <n v="0"/>
    <n v="3"/>
  </r>
  <r>
    <x v="11"/>
    <x v="1"/>
    <x v="0"/>
    <n v="1389"/>
    <x v="1"/>
    <n v="21"/>
    <n v="4"/>
    <x v="0"/>
    <x v="0"/>
    <x v="15"/>
    <n v="2"/>
    <x v="0"/>
    <n v="51"/>
    <n v="4"/>
    <n v="3"/>
    <x v="3"/>
    <n v="1"/>
    <x v="2"/>
    <n v="9980"/>
    <n v="10195"/>
    <n v="1"/>
    <s v="Y"/>
    <x v="1"/>
    <n v="11"/>
    <n v="3"/>
    <n v="3"/>
    <n v="80"/>
    <n v="1"/>
    <n v="10"/>
    <n v="1"/>
    <n v="3"/>
    <n v="10"/>
    <n v="9"/>
    <n v="8"/>
    <n v="8"/>
  </r>
  <r>
    <x v="5"/>
    <x v="1"/>
    <x v="0"/>
    <n v="334"/>
    <x v="1"/>
    <n v="5"/>
    <n v="2"/>
    <x v="0"/>
    <x v="0"/>
    <x v="16"/>
    <n v="1"/>
    <x v="1"/>
    <n v="80"/>
    <n v="4"/>
    <n v="1"/>
    <x v="1"/>
    <n v="2"/>
    <x v="2"/>
    <n v="3298"/>
    <n v="15053"/>
    <n v="0"/>
    <s v="Y"/>
    <x v="0"/>
    <n v="12"/>
    <n v="3"/>
    <n v="4"/>
    <n v="80"/>
    <n v="2"/>
    <n v="7"/>
    <n v="5"/>
    <n v="2"/>
    <n v="6"/>
    <n v="2"/>
    <n v="0"/>
    <n v="5"/>
  </r>
  <r>
    <x v="15"/>
    <x v="1"/>
    <x v="2"/>
    <n v="1123"/>
    <x v="1"/>
    <n v="16"/>
    <n v="2"/>
    <x v="2"/>
    <x v="0"/>
    <x v="17"/>
    <n v="4"/>
    <x v="1"/>
    <n v="96"/>
    <n v="4"/>
    <n v="1"/>
    <x v="2"/>
    <n v="4"/>
    <x v="2"/>
    <n v="2935"/>
    <n v="7324"/>
    <n v="1"/>
    <s v="Y"/>
    <x v="0"/>
    <n v="13"/>
    <n v="3"/>
    <n v="2"/>
    <n v="80"/>
    <n v="2"/>
    <n v="1"/>
    <n v="2"/>
    <n v="2"/>
    <n v="1"/>
    <n v="0"/>
    <n v="0"/>
    <n v="0"/>
  </r>
  <r>
    <x v="16"/>
    <x v="1"/>
    <x v="0"/>
    <n v="1219"/>
    <x v="0"/>
    <n v="2"/>
    <n v="4"/>
    <x v="0"/>
    <x v="0"/>
    <x v="18"/>
    <n v="1"/>
    <x v="0"/>
    <n v="78"/>
    <n v="2"/>
    <n v="4"/>
    <x v="5"/>
    <n v="4"/>
    <x v="1"/>
    <n v="15427"/>
    <n v="22021"/>
    <n v="2"/>
    <s v="Y"/>
    <x v="1"/>
    <n v="16"/>
    <n v="3"/>
    <n v="3"/>
    <n v="80"/>
    <n v="0"/>
    <n v="31"/>
    <n v="3"/>
    <n v="3"/>
    <n v="25"/>
    <n v="8"/>
    <n v="3"/>
    <n v="7"/>
  </r>
  <r>
    <x v="8"/>
    <x v="1"/>
    <x v="0"/>
    <n v="371"/>
    <x v="1"/>
    <n v="2"/>
    <n v="3"/>
    <x v="0"/>
    <x v="0"/>
    <x v="19"/>
    <n v="4"/>
    <x v="1"/>
    <n v="45"/>
    <n v="3"/>
    <n v="1"/>
    <x v="1"/>
    <n v="4"/>
    <x v="0"/>
    <n v="3944"/>
    <n v="4306"/>
    <n v="5"/>
    <s v="Y"/>
    <x v="0"/>
    <n v="11"/>
    <n v="3"/>
    <n v="3"/>
    <n v="80"/>
    <n v="0"/>
    <n v="6"/>
    <n v="3"/>
    <n v="3"/>
    <n v="3"/>
    <n v="2"/>
    <n v="1"/>
    <n v="2"/>
  </r>
  <r>
    <x v="17"/>
    <x v="1"/>
    <x v="2"/>
    <n v="673"/>
    <x v="1"/>
    <n v="11"/>
    <n v="2"/>
    <x v="1"/>
    <x v="0"/>
    <x v="20"/>
    <n v="1"/>
    <x v="0"/>
    <n v="96"/>
    <n v="4"/>
    <n v="2"/>
    <x v="3"/>
    <n v="3"/>
    <x v="2"/>
    <n v="4011"/>
    <n v="8232"/>
    <n v="0"/>
    <s v="Y"/>
    <x v="1"/>
    <n v="18"/>
    <n v="3"/>
    <n v="4"/>
    <n v="80"/>
    <n v="1"/>
    <n v="5"/>
    <n v="5"/>
    <n v="2"/>
    <n v="4"/>
    <n v="2"/>
    <n v="1"/>
    <n v="3"/>
  </r>
  <r>
    <x v="9"/>
    <x v="0"/>
    <x v="0"/>
    <n v="1218"/>
    <x v="0"/>
    <n v="9"/>
    <n v="4"/>
    <x v="0"/>
    <x v="0"/>
    <x v="21"/>
    <n v="3"/>
    <x v="1"/>
    <n v="82"/>
    <n v="2"/>
    <n v="1"/>
    <x v="6"/>
    <n v="1"/>
    <x v="0"/>
    <n v="3407"/>
    <n v="6986"/>
    <n v="7"/>
    <s v="Y"/>
    <x v="1"/>
    <n v="23"/>
    <n v="4"/>
    <n v="2"/>
    <n v="80"/>
    <n v="0"/>
    <n v="10"/>
    <n v="4"/>
    <n v="3"/>
    <n v="5"/>
    <n v="3"/>
    <n v="0"/>
    <n v="3"/>
  </r>
  <r>
    <x v="13"/>
    <x v="1"/>
    <x v="0"/>
    <n v="419"/>
    <x v="1"/>
    <n v="7"/>
    <n v="4"/>
    <x v="0"/>
    <x v="0"/>
    <x v="22"/>
    <n v="1"/>
    <x v="0"/>
    <n v="53"/>
    <n v="3"/>
    <n v="3"/>
    <x v="7"/>
    <n v="2"/>
    <x v="0"/>
    <n v="11994"/>
    <n v="21293"/>
    <n v="0"/>
    <s v="Y"/>
    <x v="1"/>
    <n v="11"/>
    <n v="3"/>
    <n v="3"/>
    <n v="80"/>
    <n v="0"/>
    <n v="13"/>
    <n v="4"/>
    <n v="3"/>
    <n v="12"/>
    <n v="6"/>
    <n v="2"/>
    <n v="11"/>
  </r>
  <r>
    <x v="18"/>
    <x v="1"/>
    <x v="0"/>
    <n v="391"/>
    <x v="1"/>
    <n v="15"/>
    <n v="2"/>
    <x v="0"/>
    <x v="0"/>
    <x v="23"/>
    <n v="3"/>
    <x v="1"/>
    <n v="96"/>
    <n v="3"/>
    <n v="1"/>
    <x v="1"/>
    <n v="4"/>
    <x v="0"/>
    <n v="1232"/>
    <n v="19281"/>
    <n v="1"/>
    <s v="Y"/>
    <x v="1"/>
    <n v="14"/>
    <n v="3"/>
    <n v="4"/>
    <n v="80"/>
    <n v="0"/>
    <n v="0"/>
    <n v="6"/>
    <n v="3"/>
    <n v="0"/>
    <n v="0"/>
    <n v="0"/>
    <n v="0"/>
  </r>
  <r>
    <x v="13"/>
    <x v="0"/>
    <x v="0"/>
    <n v="699"/>
    <x v="1"/>
    <n v="6"/>
    <n v="1"/>
    <x v="2"/>
    <x v="0"/>
    <x v="24"/>
    <n v="2"/>
    <x v="1"/>
    <n v="83"/>
    <n v="3"/>
    <n v="1"/>
    <x v="1"/>
    <n v="1"/>
    <x v="0"/>
    <n v="2960"/>
    <n v="17102"/>
    <n v="2"/>
    <s v="Y"/>
    <x v="1"/>
    <n v="11"/>
    <n v="3"/>
    <n v="3"/>
    <n v="80"/>
    <n v="0"/>
    <n v="8"/>
    <n v="2"/>
    <n v="3"/>
    <n v="4"/>
    <n v="2"/>
    <n v="1"/>
    <n v="3"/>
  </r>
  <r>
    <x v="16"/>
    <x v="1"/>
    <x v="0"/>
    <n v="1282"/>
    <x v="1"/>
    <n v="5"/>
    <n v="3"/>
    <x v="1"/>
    <x v="0"/>
    <x v="25"/>
    <n v="3"/>
    <x v="0"/>
    <n v="58"/>
    <n v="3"/>
    <n v="5"/>
    <x v="5"/>
    <n v="3"/>
    <x v="2"/>
    <n v="19094"/>
    <n v="10735"/>
    <n v="4"/>
    <s v="Y"/>
    <x v="1"/>
    <n v="11"/>
    <n v="3"/>
    <n v="4"/>
    <n v="80"/>
    <n v="1"/>
    <n v="26"/>
    <n v="3"/>
    <n v="2"/>
    <n v="14"/>
    <n v="13"/>
    <n v="4"/>
    <n v="8"/>
  </r>
  <r>
    <x v="5"/>
    <x v="0"/>
    <x v="1"/>
    <n v="1125"/>
    <x v="1"/>
    <n v="16"/>
    <n v="1"/>
    <x v="0"/>
    <x v="0"/>
    <x v="26"/>
    <n v="2"/>
    <x v="0"/>
    <n v="72"/>
    <n v="1"/>
    <n v="1"/>
    <x v="1"/>
    <n v="1"/>
    <x v="0"/>
    <n v="3919"/>
    <n v="4681"/>
    <n v="1"/>
    <s v="Y"/>
    <x v="0"/>
    <n v="22"/>
    <n v="4"/>
    <n v="2"/>
    <n v="80"/>
    <n v="0"/>
    <n v="10"/>
    <n v="5"/>
    <n v="3"/>
    <n v="10"/>
    <n v="2"/>
    <n v="6"/>
    <n v="7"/>
  </r>
  <r>
    <x v="19"/>
    <x v="1"/>
    <x v="0"/>
    <n v="691"/>
    <x v="0"/>
    <n v="8"/>
    <n v="4"/>
    <x v="3"/>
    <x v="0"/>
    <x v="27"/>
    <n v="3"/>
    <x v="1"/>
    <n v="48"/>
    <n v="3"/>
    <n v="2"/>
    <x v="0"/>
    <n v="2"/>
    <x v="1"/>
    <n v="6825"/>
    <n v="21173"/>
    <n v="0"/>
    <s v="Y"/>
    <x v="1"/>
    <n v="11"/>
    <n v="3"/>
    <n v="4"/>
    <n v="80"/>
    <n v="1"/>
    <n v="10"/>
    <n v="2"/>
    <n v="3"/>
    <n v="9"/>
    <n v="7"/>
    <n v="4"/>
    <n v="2"/>
  </r>
  <r>
    <x v="20"/>
    <x v="1"/>
    <x v="0"/>
    <n v="477"/>
    <x v="1"/>
    <n v="7"/>
    <n v="4"/>
    <x v="2"/>
    <x v="0"/>
    <x v="28"/>
    <n v="1"/>
    <x v="0"/>
    <n v="42"/>
    <n v="2"/>
    <n v="3"/>
    <x v="4"/>
    <n v="4"/>
    <x v="1"/>
    <n v="10248"/>
    <n v="2094"/>
    <n v="3"/>
    <s v="Y"/>
    <x v="1"/>
    <n v="14"/>
    <n v="3"/>
    <n v="4"/>
    <n v="80"/>
    <n v="1"/>
    <n v="24"/>
    <n v="4"/>
    <n v="3"/>
    <n v="22"/>
    <n v="6"/>
    <n v="5"/>
    <n v="17"/>
  </r>
  <r>
    <x v="21"/>
    <x v="1"/>
    <x v="0"/>
    <n v="705"/>
    <x v="0"/>
    <n v="2"/>
    <n v="4"/>
    <x v="3"/>
    <x v="0"/>
    <x v="29"/>
    <n v="2"/>
    <x v="0"/>
    <n v="83"/>
    <n v="3"/>
    <n v="5"/>
    <x v="5"/>
    <n v="1"/>
    <x v="0"/>
    <n v="18947"/>
    <n v="22822"/>
    <n v="3"/>
    <s v="Y"/>
    <x v="1"/>
    <n v="12"/>
    <n v="3"/>
    <n v="4"/>
    <n v="80"/>
    <n v="0"/>
    <n v="22"/>
    <n v="2"/>
    <n v="2"/>
    <n v="2"/>
    <n v="2"/>
    <n v="2"/>
    <n v="1"/>
  </r>
  <r>
    <x v="3"/>
    <x v="1"/>
    <x v="0"/>
    <n v="924"/>
    <x v="1"/>
    <n v="2"/>
    <n v="3"/>
    <x v="2"/>
    <x v="0"/>
    <x v="30"/>
    <n v="3"/>
    <x v="1"/>
    <n v="78"/>
    <n v="3"/>
    <n v="1"/>
    <x v="2"/>
    <n v="4"/>
    <x v="0"/>
    <n v="2496"/>
    <n v="6670"/>
    <n v="4"/>
    <s v="Y"/>
    <x v="1"/>
    <n v="11"/>
    <n v="3"/>
    <n v="4"/>
    <n v="80"/>
    <n v="0"/>
    <n v="7"/>
    <n v="3"/>
    <n v="3"/>
    <n v="1"/>
    <n v="1"/>
    <n v="0"/>
    <n v="0"/>
  </r>
  <r>
    <x v="20"/>
    <x v="1"/>
    <x v="0"/>
    <n v="1459"/>
    <x v="1"/>
    <n v="10"/>
    <n v="4"/>
    <x v="1"/>
    <x v="0"/>
    <x v="31"/>
    <n v="4"/>
    <x v="1"/>
    <n v="41"/>
    <n v="3"/>
    <n v="2"/>
    <x v="4"/>
    <n v="4"/>
    <x v="1"/>
    <n v="6465"/>
    <n v="19121"/>
    <n v="2"/>
    <s v="Y"/>
    <x v="0"/>
    <n v="13"/>
    <n v="3"/>
    <n v="4"/>
    <n v="80"/>
    <n v="0"/>
    <n v="9"/>
    <n v="5"/>
    <n v="4"/>
    <n v="4"/>
    <n v="2"/>
    <n v="1"/>
    <n v="3"/>
  </r>
  <r>
    <x v="7"/>
    <x v="1"/>
    <x v="0"/>
    <n v="125"/>
    <x v="1"/>
    <n v="9"/>
    <n v="2"/>
    <x v="2"/>
    <x v="0"/>
    <x v="32"/>
    <n v="4"/>
    <x v="1"/>
    <n v="83"/>
    <n v="2"/>
    <n v="1"/>
    <x v="2"/>
    <n v="3"/>
    <x v="0"/>
    <n v="2206"/>
    <n v="16117"/>
    <n v="1"/>
    <s v="Y"/>
    <x v="1"/>
    <n v="13"/>
    <n v="3"/>
    <n v="1"/>
    <n v="80"/>
    <n v="0"/>
    <n v="10"/>
    <n v="5"/>
    <n v="3"/>
    <n v="10"/>
    <n v="0"/>
    <n v="1"/>
    <n v="8"/>
  </r>
  <r>
    <x v="22"/>
    <x v="0"/>
    <x v="0"/>
    <n v="895"/>
    <x v="0"/>
    <n v="5"/>
    <n v="3"/>
    <x v="4"/>
    <x v="0"/>
    <x v="33"/>
    <n v="4"/>
    <x v="1"/>
    <n v="56"/>
    <n v="3"/>
    <n v="2"/>
    <x v="6"/>
    <n v="4"/>
    <x v="1"/>
    <n v="2086"/>
    <n v="3335"/>
    <n v="3"/>
    <s v="Y"/>
    <x v="1"/>
    <n v="14"/>
    <n v="3"/>
    <n v="3"/>
    <n v="80"/>
    <n v="1"/>
    <n v="19"/>
    <n v="6"/>
    <n v="4"/>
    <n v="1"/>
    <n v="0"/>
    <n v="0"/>
    <n v="0"/>
  </r>
  <r>
    <x v="17"/>
    <x v="0"/>
    <x v="0"/>
    <n v="813"/>
    <x v="1"/>
    <n v="1"/>
    <n v="3"/>
    <x v="2"/>
    <x v="0"/>
    <x v="34"/>
    <n v="2"/>
    <x v="1"/>
    <n v="61"/>
    <n v="3"/>
    <n v="1"/>
    <x v="1"/>
    <n v="4"/>
    <x v="1"/>
    <n v="2293"/>
    <n v="3020"/>
    <n v="2"/>
    <s v="Y"/>
    <x v="0"/>
    <n v="16"/>
    <n v="3"/>
    <n v="1"/>
    <n v="80"/>
    <n v="1"/>
    <n v="6"/>
    <n v="2"/>
    <n v="2"/>
    <n v="2"/>
    <n v="0"/>
    <n v="2"/>
    <n v="0"/>
  </r>
  <r>
    <x v="23"/>
    <x v="1"/>
    <x v="0"/>
    <n v="1273"/>
    <x v="1"/>
    <n v="2"/>
    <n v="2"/>
    <x v="2"/>
    <x v="0"/>
    <x v="35"/>
    <n v="4"/>
    <x v="0"/>
    <n v="72"/>
    <n v="4"/>
    <n v="1"/>
    <x v="1"/>
    <n v="3"/>
    <x v="2"/>
    <n v="2645"/>
    <n v="21923"/>
    <n v="1"/>
    <s v="Y"/>
    <x v="1"/>
    <n v="12"/>
    <n v="3"/>
    <n v="4"/>
    <n v="80"/>
    <n v="2"/>
    <n v="6"/>
    <n v="3"/>
    <n v="2"/>
    <n v="5"/>
    <n v="3"/>
    <n v="1"/>
    <n v="4"/>
  </r>
  <r>
    <x v="24"/>
    <x v="0"/>
    <x v="0"/>
    <n v="869"/>
    <x v="0"/>
    <n v="3"/>
    <n v="2"/>
    <x v="3"/>
    <x v="0"/>
    <x v="36"/>
    <n v="1"/>
    <x v="1"/>
    <n v="86"/>
    <n v="2"/>
    <n v="1"/>
    <x v="6"/>
    <n v="3"/>
    <x v="1"/>
    <n v="2683"/>
    <n v="3810"/>
    <n v="1"/>
    <s v="Y"/>
    <x v="0"/>
    <n v="14"/>
    <n v="3"/>
    <n v="3"/>
    <n v="80"/>
    <n v="0"/>
    <n v="3"/>
    <n v="2"/>
    <n v="3"/>
    <n v="3"/>
    <n v="2"/>
    <n v="0"/>
    <n v="2"/>
  </r>
  <r>
    <x v="10"/>
    <x v="1"/>
    <x v="0"/>
    <n v="890"/>
    <x v="0"/>
    <n v="2"/>
    <n v="3"/>
    <x v="3"/>
    <x v="0"/>
    <x v="37"/>
    <n v="4"/>
    <x v="0"/>
    <n v="97"/>
    <n v="3"/>
    <n v="1"/>
    <x v="6"/>
    <n v="4"/>
    <x v="1"/>
    <n v="2014"/>
    <n v="9687"/>
    <n v="1"/>
    <s v="Y"/>
    <x v="1"/>
    <n v="13"/>
    <n v="3"/>
    <n v="1"/>
    <n v="80"/>
    <n v="0"/>
    <n v="2"/>
    <n v="3"/>
    <n v="3"/>
    <n v="2"/>
    <n v="2"/>
    <n v="2"/>
    <n v="2"/>
  </r>
  <r>
    <x v="9"/>
    <x v="1"/>
    <x v="0"/>
    <n v="852"/>
    <x v="1"/>
    <n v="5"/>
    <n v="4"/>
    <x v="0"/>
    <x v="0"/>
    <x v="38"/>
    <n v="2"/>
    <x v="0"/>
    <n v="82"/>
    <n v="2"/>
    <n v="1"/>
    <x v="1"/>
    <n v="1"/>
    <x v="1"/>
    <n v="3419"/>
    <n v="13072"/>
    <n v="9"/>
    <s v="Y"/>
    <x v="0"/>
    <n v="14"/>
    <n v="3"/>
    <n v="4"/>
    <n v="80"/>
    <n v="1"/>
    <n v="6"/>
    <n v="3"/>
    <n v="4"/>
    <n v="1"/>
    <n v="1"/>
    <n v="0"/>
    <n v="0"/>
  </r>
  <r>
    <x v="3"/>
    <x v="1"/>
    <x v="1"/>
    <n v="1141"/>
    <x v="0"/>
    <n v="1"/>
    <n v="3"/>
    <x v="0"/>
    <x v="0"/>
    <x v="39"/>
    <n v="3"/>
    <x v="0"/>
    <n v="42"/>
    <n v="4"/>
    <n v="2"/>
    <x v="0"/>
    <n v="1"/>
    <x v="1"/>
    <n v="5376"/>
    <n v="3193"/>
    <n v="2"/>
    <s v="Y"/>
    <x v="1"/>
    <n v="19"/>
    <n v="3"/>
    <n v="1"/>
    <n v="80"/>
    <n v="2"/>
    <n v="10"/>
    <n v="3"/>
    <n v="3"/>
    <n v="5"/>
    <n v="3"/>
    <n v="1"/>
    <n v="3"/>
  </r>
  <r>
    <x v="10"/>
    <x v="1"/>
    <x v="0"/>
    <n v="464"/>
    <x v="1"/>
    <n v="4"/>
    <n v="2"/>
    <x v="1"/>
    <x v="0"/>
    <x v="40"/>
    <n v="3"/>
    <x v="1"/>
    <n v="75"/>
    <n v="3"/>
    <n v="1"/>
    <x v="2"/>
    <n v="4"/>
    <x v="2"/>
    <n v="1951"/>
    <n v="10910"/>
    <n v="1"/>
    <s v="Y"/>
    <x v="1"/>
    <n v="12"/>
    <n v="3"/>
    <n v="3"/>
    <n v="80"/>
    <n v="1"/>
    <n v="1"/>
    <n v="3"/>
    <n v="3"/>
    <n v="1"/>
    <n v="0"/>
    <n v="0"/>
    <n v="0"/>
  </r>
  <r>
    <x v="4"/>
    <x v="1"/>
    <x v="0"/>
    <n v="1240"/>
    <x v="1"/>
    <n v="2"/>
    <n v="4"/>
    <x v="0"/>
    <x v="0"/>
    <x v="41"/>
    <n v="4"/>
    <x v="0"/>
    <n v="33"/>
    <n v="3"/>
    <n v="1"/>
    <x v="2"/>
    <n v="1"/>
    <x v="2"/>
    <n v="2341"/>
    <n v="19715"/>
    <n v="1"/>
    <s v="Y"/>
    <x v="1"/>
    <n v="13"/>
    <n v="3"/>
    <n v="4"/>
    <n v="80"/>
    <n v="1"/>
    <n v="1"/>
    <n v="6"/>
    <n v="3"/>
    <n v="1"/>
    <n v="0"/>
    <n v="0"/>
    <n v="0"/>
  </r>
  <r>
    <x v="25"/>
    <x v="0"/>
    <x v="0"/>
    <n v="1357"/>
    <x v="1"/>
    <n v="25"/>
    <n v="3"/>
    <x v="0"/>
    <x v="0"/>
    <x v="42"/>
    <n v="1"/>
    <x v="1"/>
    <n v="48"/>
    <n v="1"/>
    <n v="1"/>
    <x v="2"/>
    <n v="3"/>
    <x v="0"/>
    <n v="2293"/>
    <n v="10558"/>
    <n v="1"/>
    <s v="Y"/>
    <x v="1"/>
    <n v="12"/>
    <n v="3"/>
    <n v="3"/>
    <n v="80"/>
    <n v="0"/>
    <n v="1"/>
    <n v="2"/>
    <n v="2"/>
    <n v="1"/>
    <n v="0"/>
    <n v="0"/>
    <n v="1"/>
  </r>
  <r>
    <x v="4"/>
    <x v="1"/>
    <x v="1"/>
    <n v="994"/>
    <x v="0"/>
    <n v="8"/>
    <n v="3"/>
    <x v="0"/>
    <x v="0"/>
    <x v="43"/>
    <n v="4"/>
    <x v="1"/>
    <n v="37"/>
    <n v="3"/>
    <n v="3"/>
    <x v="0"/>
    <n v="3"/>
    <x v="0"/>
    <n v="8726"/>
    <n v="2975"/>
    <n v="1"/>
    <s v="Y"/>
    <x v="1"/>
    <n v="15"/>
    <n v="3"/>
    <n v="4"/>
    <n v="80"/>
    <n v="0"/>
    <n v="9"/>
    <n v="0"/>
    <n v="3"/>
    <n v="9"/>
    <n v="8"/>
    <n v="1"/>
    <n v="7"/>
  </r>
  <r>
    <x v="7"/>
    <x v="1"/>
    <x v="1"/>
    <n v="721"/>
    <x v="1"/>
    <n v="1"/>
    <n v="2"/>
    <x v="2"/>
    <x v="0"/>
    <x v="44"/>
    <n v="3"/>
    <x v="0"/>
    <n v="58"/>
    <n v="3"/>
    <n v="2"/>
    <x v="2"/>
    <n v="4"/>
    <x v="0"/>
    <n v="4011"/>
    <n v="10781"/>
    <n v="1"/>
    <s v="Y"/>
    <x v="1"/>
    <n v="23"/>
    <n v="4"/>
    <n v="4"/>
    <n v="80"/>
    <n v="0"/>
    <n v="12"/>
    <n v="2"/>
    <n v="3"/>
    <n v="12"/>
    <n v="8"/>
    <n v="3"/>
    <n v="7"/>
  </r>
  <r>
    <x v="0"/>
    <x v="0"/>
    <x v="0"/>
    <n v="1360"/>
    <x v="1"/>
    <n v="12"/>
    <n v="3"/>
    <x v="4"/>
    <x v="0"/>
    <x v="45"/>
    <n v="2"/>
    <x v="0"/>
    <n v="49"/>
    <n v="3"/>
    <n v="5"/>
    <x v="7"/>
    <n v="3"/>
    <x v="1"/>
    <n v="19545"/>
    <n v="16280"/>
    <n v="1"/>
    <s v="Y"/>
    <x v="1"/>
    <n v="12"/>
    <n v="3"/>
    <n v="4"/>
    <n v="80"/>
    <n v="0"/>
    <n v="23"/>
    <n v="0"/>
    <n v="3"/>
    <n v="22"/>
    <n v="15"/>
    <n v="15"/>
    <n v="8"/>
  </r>
  <r>
    <x v="13"/>
    <x v="1"/>
    <x v="2"/>
    <n v="1065"/>
    <x v="0"/>
    <n v="23"/>
    <n v="4"/>
    <x v="3"/>
    <x v="0"/>
    <x v="46"/>
    <n v="2"/>
    <x v="1"/>
    <n v="72"/>
    <n v="3"/>
    <n v="2"/>
    <x v="0"/>
    <n v="3"/>
    <x v="0"/>
    <n v="4568"/>
    <n v="10034"/>
    <n v="0"/>
    <s v="Y"/>
    <x v="1"/>
    <n v="20"/>
    <n v="4"/>
    <n v="3"/>
    <n v="80"/>
    <n v="0"/>
    <n v="10"/>
    <n v="2"/>
    <n v="3"/>
    <n v="9"/>
    <n v="5"/>
    <n v="8"/>
    <n v="7"/>
  </r>
  <r>
    <x v="2"/>
    <x v="1"/>
    <x v="0"/>
    <n v="408"/>
    <x v="1"/>
    <n v="19"/>
    <n v="2"/>
    <x v="0"/>
    <x v="0"/>
    <x v="47"/>
    <n v="2"/>
    <x v="1"/>
    <n v="73"/>
    <n v="3"/>
    <n v="1"/>
    <x v="1"/>
    <n v="2"/>
    <x v="1"/>
    <n v="3022"/>
    <n v="10227"/>
    <n v="4"/>
    <s v="Y"/>
    <x v="1"/>
    <n v="21"/>
    <n v="4"/>
    <n v="1"/>
    <n v="80"/>
    <n v="0"/>
    <n v="8"/>
    <n v="1"/>
    <n v="3"/>
    <n v="1"/>
    <n v="0"/>
    <n v="0"/>
    <n v="0"/>
  </r>
  <r>
    <x v="21"/>
    <x v="1"/>
    <x v="1"/>
    <n v="1211"/>
    <x v="0"/>
    <n v="5"/>
    <n v="4"/>
    <x v="3"/>
    <x v="0"/>
    <x v="48"/>
    <n v="1"/>
    <x v="1"/>
    <n v="98"/>
    <n v="3"/>
    <n v="2"/>
    <x v="0"/>
    <n v="4"/>
    <x v="0"/>
    <n v="5772"/>
    <n v="20445"/>
    <n v="4"/>
    <s v="Y"/>
    <x v="0"/>
    <n v="21"/>
    <n v="4"/>
    <n v="3"/>
    <n v="80"/>
    <n v="0"/>
    <n v="14"/>
    <n v="4"/>
    <n v="3"/>
    <n v="9"/>
    <n v="6"/>
    <n v="0"/>
    <n v="8"/>
  </r>
  <r>
    <x v="10"/>
    <x v="1"/>
    <x v="0"/>
    <n v="1229"/>
    <x v="1"/>
    <n v="8"/>
    <n v="1"/>
    <x v="0"/>
    <x v="0"/>
    <x v="49"/>
    <n v="4"/>
    <x v="1"/>
    <n v="36"/>
    <n v="4"/>
    <n v="1"/>
    <x v="2"/>
    <n v="4"/>
    <x v="1"/>
    <n v="2269"/>
    <n v="4892"/>
    <n v="1"/>
    <s v="Y"/>
    <x v="1"/>
    <n v="19"/>
    <n v="3"/>
    <n v="4"/>
    <n v="80"/>
    <n v="0"/>
    <n v="1"/>
    <n v="2"/>
    <n v="3"/>
    <n v="1"/>
    <n v="0"/>
    <n v="0"/>
    <n v="1"/>
  </r>
  <r>
    <x v="26"/>
    <x v="0"/>
    <x v="0"/>
    <n v="626"/>
    <x v="1"/>
    <n v="1"/>
    <n v="2"/>
    <x v="0"/>
    <x v="0"/>
    <x v="50"/>
    <n v="1"/>
    <x v="1"/>
    <n v="98"/>
    <n v="2"/>
    <n v="3"/>
    <x v="2"/>
    <n v="3"/>
    <x v="0"/>
    <n v="5381"/>
    <n v="19294"/>
    <n v="9"/>
    <s v="Y"/>
    <x v="0"/>
    <n v="13"/>
    <n v="3"/>
    <n v="4"/>
    <n v="80"/>
    <n v="0"/>
    <n v="23"/>
    <n v="2"/>
    <n v="3"/>
    <n v="1"/>
    <n v="0"/>
    <n v="0"/>
    <n v="0"/>
  </r>
  <r>
    <x v="14"/>
    <x v="0"/>
    <x v="0"/>
    <n v="1434"/>
    <x v="1"/>
    <n v="5"/>
    <n v="4"/>
    <x v="4"/>
    <x v="0"/>
    <x v="51"/>
    <n v="3"/>
    <x v="1"/>
    <n v="50"/>
    <n v="3"/>
    <n v="1"/>
    <x v="2"/>
    <n v="3"/>
    <x v="0"/>
    <n v="3441"/>
    <n v="11179"/>
    <n v="1"/>
    <s v="Y"/>
    <x v="0"/>
    <n v="13"/>
    <n v="3"/>
    <n v="3"/>
    <n v="80"/>
    <n v="0"/>
    <n v="2"/>
    <n v="3"/>
    <n v="2"/>
    <n v="2"/>
    <n v="2"/>
    <n v="2"/>
    <n v="2"/>
  </r>
  <r>
    <x v="20"/>
    <x v="1"/>
    <x v="0"/>
    <n v="1488"/>
    <x v="0"/>
    <n v="1"/>
    <n v="5"/>
    <x v="3"/>
    <x v="0"/>
    <x v="52"/>
    <n v="2"/>
    <x v="0"/>
    <n v="75"/>
    <n v="3"/>
    <n v="2"/>
    <x v="0"/>
    <n v="1"/>
    <x v="2"/>
    <n v="5454"/>
    <n v="4009"/>
    <n v="5"/>
    <s v="Y"/>
    <x v="0"/>
    <n v="21"/>
    <n v="4"/>
    <n v="3"/>
    <n v="80"/>
    <n v="1"/>
    <n v="9"/>
    <n v="2"/>
    <n v="2"/>
    <n v="4"/>
    <n v="3"/>
    <n v="1"/>
    <n v="3"/>
  </r>
  <r>
    <x v="10"/>
    <x v="1"/>
    <x v="2"/>
    <n v="1097"/>
    <x v="1"/>
    <n v="11"/>
    <n v="2"/>
    <x v="2"/>
    <x v="0"/>
    <x v="53"/>
    <n v="3"/>
    <x v="1"/>
    <n v="79"/>
    <n v="2"/>
    <n v="3"/>
    <x v="4"/>
    <n v="1"/>
    <x v="1"/>
    <n v="9884"/>
    <n v="8302"/>
    <n v="2"/>
    <s v="Y"/>
    <x v="0"/>
    <n v="13"/>
    <n v="3"/>
    <n v="3"/>
    <n v="80"/>
    <n v="1"/>
    <n v="10"/>
    <n v="3"/>
    <n v="3"/>
    <n v="4"/>
    <n v="0"/>
    <n v="2"/>
    <n v="3"/>
  </r>
  <r>
    <x v="25"/>
    <x v="1"/>
    <x v="0"/>
    <n v="1443"/>
    <x v="0"/>
    <n v="23"/>
    <n v="3"/>
    <x v="3"/>
    <x v="0"/>
    <x v="54"/>
    <n v="3"/>
    <x v="0"/>
    <n v="47"/>
    <n v="2"/>
    <n v="2"/>
    <x v="0"/>
    <n v="4"/>
    <x v="1"/>
    <n v="4157"/>
    <n v="21436"/>
    <n v="7"/>
    <s v="Y"/>
    <x v="0"/>
    <n v="19"/>
    <n v="3"/>
    <n v="3"/>
    <n v="80"/>
    <n v="1"/>
    <n v="5"/>
    <n v="2"/>
    <n v="2"/>
    <n v="2"/>
    <n v="2"/>
    <n v="0"/>
    <n v="0"/>
  </r>
  <r>
    <x v="3"/>
    <x v="1"/>
    <x v="1"/>
    <n v="515"/>
    <x v="1"/>
    <n v="1"/>
    <n v="2"/>
    <x v="0"/>
    <x v="0"/>
    <x v="55"/>
    <n v="1"/>
    <x v="0"/>
    <n v="98"/>
    <n v="3"/>
    <n v="3"/>
    <x v="7"/>
    <n v="4"/>
    <x v="0"/>
    <n v="13458"/>
    <n v="15146"/>
    <n v="1"/>
    <s v="Y"/>
    <x v="0"/>
    <n v="12"/>
    <n v="3"/>
    <n v="3"/>
    <n v="80"/>
    <n v="0"/>
    <n v="15"/>
    <n v="1"/>
    <n v="3"/>
    <n v="15"/>
    <n v="14"/>
    <n v="8"/>
    <n v="12"/>
  </r>
  <r>
    <x v="10"/>
    <x v="1"/>
    <x v="1"/>
    <n v="853"/>
    <x v="0"/>
    <n v="18"/>
    <n v="5"/>
    <x v="0"/>
    <x v="0"/>
    <x v="56"/>
    <n v="2"/>
    <x v="1"/>
    <n v="71"/>
    <n v="3"/>
    <n v="3"/>
    <x v="0"/>
    <n v="1"/>
    <x v="1"/>
    <n v="9069"/>
    <n v="11031"/>
    <n v="1"/>
    <s v="Y"/>
    <x v="1"/>
    <n v="22"/>
    <n v="4"/>
    <n v="4"/>
    <n v="80"/>
    <n v="1"/>
    <n v="9"/>
    <n v="3"/>
    <n v="2"/>
    <n v="9"/>
    <n v="8"/>
    <n v="1"/>
    <n v="8"/>
  </r>
  <r>
    <x v="10"/>
    <x v="1"/>
    <x v="0"/>
    <n v="1142"/>
    <x v="1"/>
    <n v="23"/>
    <n v="4"/>
    <x v="2"/>
    <x v="0"/>
    <x v="57"/>
    <n v="3"/>
    <x v="0"/>
    <n v="30"/>
    <n v="3"/>
    <n v="1"/>
    <x v="2"/>
    <n v="1"/>
    <x v="1"/>
    <n v="4014"/>
    <n v="16002"/>
    <n v="3"/>
    <s v="Y"/>
    <x v="0"/>
    <n v="15"/>
    <n v="3"/>
    <n v="3"/>
    <n v="80"/>
    <n v="1"/>
    <n v="4"/>
    <n v="3"/>
    <n v="3"/>
    <n v="2"/>
    <n v="2"/>
    <n v="2"/>
    <n v="2"/>
  </r>
  <r>
    <x v="12"/>
    <x v="1"/>
    <x v="0"/>
    <n v="655"/>
    <x v="1"/>
    <n v="7"/>
    <n v="4"/>
    <x v="0"/>
    <x v="0"/>
    <x v="58"/>
    <n v="4"/>
    <x v="1"/>
    <n v="48"/>
    <n v="3"/>
    <n v="2"/>
    <x v="2"/>
    <n v="4"/>
    <x v="2"/>
    <n v="5915"/>
    <n v="9528"/>
    <n v="3"/>
    <s v="Y"/>
    <x v="1"/>
    <n v="22"/>
    <n v="4"/>
    <n v="4"/>
    <n v="80"/>
    <n v="1"/>
    <n v="10"/>
    <n v="3"/>
    <n v="2"/>
    <n v="7"/>
    <n v="7"/>
    <n v="1"/>
    <n v="7"/>
  </r>
  <r>
    <x v="2"/>
    <x v="1"/>
    <x v="0"/>
    <n v="1115"/>
    <x v="1"/>
    <n v="1"/>
    <n v="4"/>
    <x v="0"/>
    <x v="0"/>
    <x v="59"/>
    <n v="1"/>
    <x v="1"/>
    <n v="51"/>
    <n v="2"/>
    <n v="2"/>
    <x v="3"/>
    <n v="3"/>
    <x v="2"/>
    <n v="5993"/>
    <n v="2689"/>
    <n v="1"/>
    <s v="Y"/>
    <x v="1"/>
    <n v="18"/>
    <n v="3"/>
    <n v="3"/>
    <n v="80"/>
    <n v="1"/>
    <n v="7"/>
    <n v="2"/>
    <n v="4"/>
    <n v="7"/>
    <n v="5"/>
    <n v="0"/>
    <n v="7"/>
  </r>
  <r>
    <x v="5"/>
    <x v="1"/>
    <x v="0"/>
    <n v="427"/>
    <x v="1"/>
    <n v="1"/>
    <n v="3"/>
    <x v="2"/>
    <x v="0"/>
    <x v="60"/>
    <n v="1"/>
    <x v="1"/>
    <n v="33"/>
    <n v="3"/>
    <n v="2"/>
    <x v="3"/>
    <n v="4"/>
    <x v="1"/>
    <n v="6162"/>
    <n v="10877"/>
    <n v="1"/>
    <s v="Y"/>
    <x v="0"/>
    <n v="22"/>
    <n v="4"/>
    <n v="2"/>
    <n v="80"/>
    <n v="1"/>
    <n v="9"/>
    <n v="3"/>
    <n v="3"/>
    <n v="9"/>
    <n v="8"/>
    <n v="7"/>
    <n v="8"/>
  </r>
  <r>
    <x v="8"/>
    <x v="1"/>
    <x v="1"/>
    <n v="653"/>
    <x v="1"/>
    <n v="29"/>
    <n v="5"/>
    <x v="0"/>
    <x v="0"/>
    <x v="61"/>
    <n v="4"/>
    <x v="0"/>
    <n v="50"/>
    <n v="3"/>
    <n v="2"/>
    <x v="2"/>
    <n v="4"/>
    <x v="0"/>
    <n v="2406"/>
    <n v="5456"/>
    <n v="1"/>
    <s v="Y"/>
    <x v="1"/>
    <n v="11"/>
    <n v="3"/>
    <n v="4"/>
    <n v="80"/>
    <n v="0"/>
    <n v="10"/>
    <n v="2"/>
    <n v="3"/>
    <n v="10"/>
    <n v="3"/>
    <n v="9"/>
    <n v="9"/>
  </r>
  <r>
    <x v="24"/>
    <x v="1"/>
    <x v="0"/>
    <n v="989"/>
    <x v="1"/>
    <n v="7"/>
    <n v="2"/>
    <x v="2"/>
    <x v="0"/>
    <x v="62"/>
    <n v="2"/>
    <x v="0"/>
    <n v="43"/>
    <n v="2"/>
    <n v="5"/>
    <x v="7"/>
    <n v="3"/>
    <x v="2"/>
    <n v="18740"/>
    <n v="16701"/>
    <n v="5"/>
    <s v="Y"/>
    <x v="0"/>
    <n v="12"/>
    <n v="3"/>
    <n v="4"/>
    <n v="80"/>
    <n v="1"/>
    <n v="29"/>
    <n v="2"/>
    <n v="2"/>
    <n v="27"/>
    <n v="3"/>
    <n v="13"/>
    <n v="8"/>
  </r>
  <r>
    <x v="6"/>
    <x v="1"/>
    <x v="0"/>
    <n v="1435"/>
    <x v="0"/>
    <n v="25"/>
    <n v="3"/>
    <x v="0"/>
    <x v="0"/>
    <x v="63"/>
    <n v="1"/>
    <x v="0"/>
    <n v="99"/>
    <n v="3"/>
    <n v="3"/>
    <x v="0"/>
    <n v="1"/>
    <x v="0"/>
    <n v="7637"/>
    <n v="2354"/>
    <n v="7"/>
    <s v="Y"/>
    <x v="1"/>
    <n v="11"/>
    <n v="3"/>
    <n v="4"/>
    <n v="80"/>
    <n v="0"/>
    <n v="28"/>
    <n v="3"/>
    <n v="2"/>
    <n v="21"/>
    <n v="16"/>
    <n v="7"/>
    <n v="9"/>
  </r>
  <r>
    <x v="9"/>
    <x v="1"/>
    <x v="0"/>
    <n v="1223"/>
    <x v="1"/>
    <n v="8"/>
    <n v="3"/>
    <x v="4"/>
    <x v="0"/>
    <x v="64"/>
    <n v="3"/>
    <x v="0"/>
    <n v="59"/>
    <n v="3"/>
    <n v="3"/>
    <x v="4"/>
    <n v="3"/>
    <x v="2"/>
    <n v="10096"/>
    <n v="8202"/>
    <n v="1"/>
    <s v="Y"/>
    <x v="1"/>
    <n v="13"/>
    <n v="3"/>
    <n v="2"/>
    <n v="80"/>
    <n v="3"/>
    <n v="17"/>
    <n v="2"/>
    <n v="3"/>
    <n v="17"/>
    <n v="14"/>
    <n v="12"/>
    <n v="8"/>
  </r>
  <r>
    <x v="27"/>
    <x v="1"/>
    <x v="0"/>
    <n v="836"/>
    <x v="1"/>
    <n v="8"/>
    <n v="3"/>
    <x v="2"/>
    <x v="0"/>
    <x v="65"/>
    <n v="4"/>
    <x v="0"/>
    <n v="33"/>
    <n v="3"/>
    <n v="4"/>
    <x v="5"/>
    <n v="3"/>
    <x v="2"/>
    <n v="14756"/>
    <n v="19730"/>
    <n v="2"/>
    <s v="Y"/>
    <x v="0"/>
    <n v="14"/>
    <n v="3"/>
    <n v="3"/>
    <n v="80"/>
    <n v="3"/>
    <n v="21"/>
    <n v="2"/>
    <n v="3"/>
    <n v="5"/>
    <n v="0"/>
    <n v="0"/>
    <n v="2"/>
  </r>
  <r>
    <x v="9"/>
    <x v="1"/>
    <x v="1"/>
    <n v="1195"/>
    <x v="1"/>
    <n v="11"/>
    <n v="3"/>
    <x v="0"/>
    <x v="0"/>
    <x v="66"/>
    <n v="2"/>
    <x v="1"/>
    <n v="95"/>
    <n v="2"/>
    <n v="2"/>
    <x v="3"/>
    <n v="2"/>
    <x v="0"/>
    <n v="6499"/>
    <n v="22656"/>
    <n v="1"/>
    <s v="Y"/>
    <x v="1"/>
    <n v="13"/>
    <n v="3"/>
    <n v="3"/>
    <n v="80"/>
    <n v="0"/>
    <n v="6"/>
    <n v="3"/>
    <n v="3"/>
    <n v="6"/>
    <n v="5"/>
    <n v="0"/>
    <n v="3"/>
  </r>
  <r>
    <x v="28"/>
    <x v="1"/>
    <x v="0"/>
    <n v="1339"/>
    <x v="1"/>
    <n v="7"/>
    <n v="3"/>
    <x v="0"/>
    <x v="0"/>
    <x v="67"/>
    <n v="2"/>
    <x v="1"/>
    <n v="59"/>
    <n v="3"/>
    <n v="3"/>
    <x v="1"/>
    <n v="1"/>
    <x v="2"/>
    <n v="9724"/>
    <n v="18787"/>
    <n v="2"/>
    <s v="Y"/>
    <x v="1"/>
    <n v="17"/>
    <n v="3"/>
    <n v="3"/>
    <n v="80"/>
    <n v="1"/>
    <n v="25"/>
    <n v="2"/>
    <n v="3"/>
    <n v="1"/>
    <n v="0"/>
    <n v="0"/>
    <n v="0"/>
  </r>
  <r>
    <x v="10"/>
    <x v="1"/>
    <x v="1"/>
    <n v="664"/>
    <x v="1"/>
    <n v="1"/>
    <n v="3"/>
    <x v="2"/>
    <x v="0"/>
    <x v="68"/>
    <n v="2"/>
    <x v="1"/>
    <n v="79"/>
    <n v="3"/>
    <n v="1"/>
    <x v="1"/>
    <n v="1"/>
    <x v="1"/>
    <n v="2194"/>
    <n v="5868"/>
    <n v="4"/>
    <s v="Y"/>
    <x v="1"/>
    <n v="13"/>
    <n v="3"/>
    <n v="4"/>
    <n v="80"/>
    <n v="1"/>
    <n v="5"/>
    <n v="2"/>
    <n v="2"/>
    <n v="3"/>
    <n v="2"/>
    <n v="1"/>
    <n v="2"/>
  </r>
  <r>
    <x v="9"/>
    <x v="0"/>
    <x v="0"/>
    <n v="318"/>
    <x v="1"/>
    <n v="9"/>
    <n v="3"/>
    <x v="2"/>
    <x v="0"/>
    <x v="69"/>
    <n v="4"/>
    <x v="1"/>
    <n v="79"/>
    <n v="2"/>
    <n v="1"/>
    <x v="1"/>
    <n v="3"/>
    <x v="1"/>
    <n v="3388"/>
    <n v="21777"/>
    <n v="0"/>
    <s v="Y"/>
    <x v="0"/>
    <n v="17"/>
    <n v="3"/>
    <n v="1"/>
    <n v="80"/>
    <n v="1"/>
    <n v="2"/>
    <n v="0"/>
    <n v="2"/>
    <n v="1"/>
    <n v="0"/>
    <n v="0"/>
    <n v="0"/>
  </r>
  <r>
    <x v="6"/>
    <x v="1"/>
    <x v="1"/>
    <n v="1225"/>
    <x v="0"/>
    <n v="1"/>
    <n v="1"/>
    <x v="0"/>
    <x v="0"/>
    <x v="70"/>
    <n v="1"/>
    <x v="0"/>
    <n v="57"/>
    <n v="2"/>
    <n v="2"/>
    <x v="0"/>
    <n v="3"/>
    <x v="0"/>
    <n v="5473"/>
    <n v="24668"/>
    <n v="7"/>
    <s v="Y"/>
    <x v="1"/>
    <n v="11"/>
    <n v="3"/>
    <n v="4"/>
    <n v="80"/>
    <n v="0"/>
    <n v="20"/>
    <n v="2"/>
    <n v="2"/>
    <n v="4"/>
    <n v="3"/>
    <n v="1"/>
    <n v="3"/>
  </r>
  <r>
    <x v="11"/>
    <x v="1"/>
    <x v="0"/>
    <n v="1328"/>
    <x v="1"/>
    <n v="2"/>
    <n v="3"/>
    <x v="0"/>
    <x v="0"/>
    <x v="71"/>
    <n v="3"/>
    <x v="1"/>
    <n v="76"/>
    <n v="3"/>
    <n v="1"/>
    <x v="1"/>
    <n v="2"/>
    <x v="1"/>
    <n v="2703"/>
    <n v="4956"/>
    <n v="0"/>
    <s v="Y"/>
    <x v="1"/>
    <n v="23"/>
    <n v="4"/>
    <n v="4"/>
    <n v="80"/>
    <n v="1"/>
    <n v="6"/>
    <n v="3"/>
    <n v="3"/>
    <n v="5"/>
    <n v="4"/>
    <n v="0"/>
    <n v="4"/>
  </r>
  <r>
    <x v="12"/>
    <x v="1"/>
    <x v="0"/>
    <n v="1082"/>
    <x v="1"/>
    <n v="1"/>
    <n v="4"/>
    <x v="2"/>
    <x v="0"/>
    <x v="72"/>
    <n v="3"/>
    <x v="1"/>
    <n v="87"/>
    <n v="3"/>
    <n v="1"/>
    <x v="1"/>
    <n v="2"/>
    <x v="0"/>
    <n v="2501"/>
    <n v="18775"/>
    <n v="1"/>
    <s v="Y"/>
    <x v="1"/>
    <n v="17"/>
    <n v="3"/>
    <n v="2"/>
    <n v="80"/>
    <n v="0"/>
    <n v="1"/>
    <n v="4"/>
    <n v="3"/>
    <n v="1"/>
    <n v="1"/>
    <n v="1"/>
    <n v="0"/>
  </r>
  <r>
    <x v="5"/>
    <x v="1"/>
    <x v="0"/>
    <n v="548"/>
    <x v="1"/>
    <n v="1"/>
    <n v="3"/>
    <x v="0"/>
    <x v="0"/>
    <x v="73"/>
    <n v="2"/>
    <x v="1"/>
    <n v="66"/>
    <n v="3"/>
    <n v="2"/>
    <x v="1"/>
    <n v="2"/>
    <x v="1"/>
    <n v="6220"/>
    <n v="7346"/>
    <n v="1"/>
    <s v="Y"/>
    <x v="1"/>
    <n v="17"/>
    <n v="3"/>
    <n v="2"/>
    <n v="80"/>
    <n v="2"/>
    <n v="10"/>
    <n v="3"/>
    <n v="3"/>
    <n v="10"/>
    <n v="4"/>
    <n v="0"/>
    <n v="9"/>
  </r>
  <r>
    <x v="9"/>
    <x v="1"/>
    <x v="0"/>
    <n v="132"/>
    <x v="1"/>
    <n v="6"/>
    <n v="3"/>
    <x v="0"/>
    <x v="0"/>
    <x v="74"/>
    <n v="2"/>
    <x v="0"/>
    <n v="55"/>
    <n v="4"/>
    <n v="1"/>
    <x v="2"/>
    <n v="4"/>
    <x v="1"/>
    <n v="3038"/>
    <n v="22002"/>
    <n v="3"/>
    <s v="Y"/>
    <x v="1"/>
    <n v="12"/>
    <n v="3"/>
    <n v="2"/>
    <n v="80"/>
    <n v="0"/>
    <n v="5"/>
    <n v="3"/>
    <n v="3"/>
    <n v="1"/>
    <n v="0"/>
    <n v="0"/>
    <n v="0"/>
  </r>
  <r>
    <x v="12"/>
    <x v="1"/>
    <x v="0"/>
    <n v="746"/>
    <x v="1"/>
    <n v="8"/>
    <n v="4"/>
    <x v="0"/>
    <x v="0"/>
    <x v="75"/>
    <n v="3"/>
    <x v="0"/>
    <n v="61"/>
    <n v="3"/>
    <n v="2"/>
    <x v="3"/>
    <n v="4"/>
    <x v="0"/>
    <n v="4424"/>
    <n v="20682"/>
    <n v="1"/>
    <s v="Y"/>
    <x v="1"/>
    <n v="23"/>
    <n v="4"/>
    <n v="4"/>
    <n v="80"/>
    <n v="0"/>
    <n v="11"/>
    <n v="2"/>
    <n v="3"/>
    <n v="11"/>
    <n v="7"/>
    <n v="1"/>
    <n v="8"/>
  </r>
  <r>
    <x v="10"/>
    <x v="1"/>
    <x v="0"/>
    <n v="776"/>
    <x v="0"/>
    <n v="1"/>
    <n v="4"/>
    <x v="3"/>
    <x v="0"/>
    <x v="76"/>
    <n v="3"/>
    <x v="1"/>
    <n v="32"/>
    <n v="2"/>
    <n v="2"/>
    <x v="0"/>
    <n v="1"/>
    <x v="0"/>
    <n v="4312"/>
    <n v="23016"/>
    <n v="0"/>
    <s v="Y"/>
    <x v="1"/>
    <n v="14"/>
    <n v="3"/>
    <n v="2"/>
    <n v="80"/>
    <n v="0"/>
    <n v="16"/>
    <n v="2"/>
    <n v="3"/>
    <n v="15"/>
    <n v="13"/>
    <n v="2"/>
    <n v="8"/>
  </r>
  <r>
    <x v="28"/>
    <x v="1"/>
    <x v="0"/>
    <n v="193"/>
    <x v="1"/>
    <n v="6"/>
    <n v="4"/>
    <x v="1"/>
    <x v="0"/>
    <x v="77"/>
    <n v="4"/>
    <x v="1"/>
    <n v="52"/>
    <n v="3"/>
    <n v="3"/>
    <x v="7"/>
    <n v="1"/>
    <x v="1"/>
    <n v="13245"/>
    <n v="15067"/>
    <n v="4"/>
    <s v="Y"/>
    <x v="0"/>
    <n v="14"/>
    <n v="3"/>
    <n v="2"/>
    <n v="80"/>
    <n v="0"/>
    <n v="17"/>
    <n v="3"/>
    <n v="4"/>
    <n v="0"/>
    <n v="0"/>
    <n v="0"/>
    <n v="0"/>
  </r>
  <r>
    <x v="2"/>
    <x v="1"/>
    <x v="0"/>
    <n v="397"/>
    <x v="1"/>
    <n v="7"/>
    <n v="4"/>
    <x v="2"/>
    <x v="0"/>
    <x v="78"/>
    <n v="1"/>
    <x v="1"/>
    <n v="30"/>
    <n v="3"/>
    <n v="3"/>
    <x v="7"/>
    <n v="3"/>
    <x v="0"/>
    <n v="13664"/>
    <n v="25258"/>
    <n v="4"/>
    <s v="Y"/>
    <x v="1"/>
    <n v="13"/>
    <n v="3"/>
    <n v="1"/>
    <n v="80"/>
    <n v="0"/>
    <n v="16"/>
    <n v="3"/>
    <n v="4"/>
    <n v="5"/>
    <n v="2"/>
    <n v="0"/>
    <n v="2"/>
  </r>
  <r>
    <x v="21"/>
    <x v="1"/>
    <x v="0"/>
    <n v="945"/>
    <x v="2"/>
    <n v="5"/>
    <n v="2"/>
    <x v="2"/>
    <x v="0"/>
    <x v="79"/>
    <n v="2"/>
    <x v="1"/>
    <n v="80"/>
    <n v="3"/>
    <n v="2"/>
    <x v="8"/>
    <n v="2"/>
    <x v="2"/>
    <n v="5021"/>
    <n v="10425"/>
    <n v="8"/>
    <s v="Y"/>
    <x v="0"/>
    <n v="22"/>
    <n v="4"/>
    <n v="4"/>
    <n v="80"/>
    <n v="1"/>
    <n v="16"/>
    <n v="2"/>
    <n v="3"/>
    <n v="4"/>
    <n v="2"/>
    <n v="0"/>
    <n v="2"/>
  </r>
  <r>
    <x v="7"/>
    <x v="1"/>
    <x v="0"/>
    <n v="852"/>
    <x v="1"/>
    <n v="1"/>
    <n v="1"/>
    <x v="0"/>
    <x v="0"/>
    <x v="80"/>
    <n v="4"/>
    <x v="1"/>
    <n v="55"/>
    <n v="2"/>
    <n v="2"/>
    <x v="2"/>
    <n v="4"/>
    <x v="1"/>
    <n v="5126"/>
    <n v="15998"/>
    <n v="1"/>
    <s v="Y"/>
    <x v="0"/>
    <n v="12"/>
    <n v="3"/>
    <n v="3"/>
    <n v="80"/>
    <n v="2"/>
    <n v="10"/>
    <n v="1"/>
    <n v="2"/>
    <n v="10"/>
    <n v="8"/>
    <n v="3"/>
    <n v="0"/>
  </r>
  <r>
    <x v="10"/>
    <x v="1"/>
    <x v="0"/>
    <n v="1214"/>
    <x v="1"/>
    <n v="1"/>
    <n v="3"/>
    <x v="2"/>
    <x v="0"/>
    <x v="81"/>
    <n v="2"/>
    <x v="1"/>
    <n v="30"/>
    <n v="2"/>
    <n v="1"/>
    <x v="1"/>
    <n v="3"/>
    <x v="0"/>
    <n v="2859"/>
    <n v="26278"/>
    <n v="1"/>
    <s v="Y"/>
    <x v="1"/>
    <n v="18"/>
    <n v="3"/>
    <n v="1"/>
    <n v="80"/>
    <n v="0"/>
    <n v="6"/>
    <n v="3"/>
    <n v="3"/>
    <n v="6"/>
    <n v="4"/>
    <n v="0"/>
    <n v="4"/>
  </r>
  <r>
    <x v="27"/>
    <x v="1"/>
    <x v="0"/>
    <n v="111"/>
    <x v="0"/>
    <n v="1"/>
    <n v="2"/>
    <x v="0"/>
    <x v="0"/>
    <x v="82"/>
    <n v="1"/>
    <x v="1"/>
    <n v="70"/>
    <n v="3"/>
    <n v="3"/>
    <x v="0"/>
    <n v="4"/>
    <x v="1"/>
    <n v="10239"/>
    <n v="18092"/>
    <n v="3"/>
    <s v="Y"/>
    <x v="1"/>
    <n v="14"/>
    <n v="3"/>
    <n v="4"/>
    <n v="80"/>
    <n v="1"/>
    <n v="24"/>
    <n v="4"/>
    <n v="3"/>
    <n v="1"/>
    <n v="0"/>
    <n v="1"/>
    <n v="0"/>
  </r>
  <r>
    <x v="8"/>
    <x v="1"/>
    <x v="2"/>
    <n v="573"/>
    <x v="1"/>
    <n v="6"/>
    <n v="3"/>
    <x v="2"/>
    <x v="0"/>
    <x v="83"/>
    <n v="2"/>
    <x v="0"/>
    <n v="79"/>
    <n v="1"/>
    <n v="2"/>
    <x v="1"/>
    <n v="4"/>
    <x v="2"/>
    <n v="5329"/>
    <n v="15717"/>
    <n v="7"/>
    <s v="Y"/>
    <x v="0"/>
    <n v="12"/>
    <n v="3"/>
    <n v="4"/>
    <n v="80"/>
    <n v="3"/>
    <n v="17"/>
    <n v="3"/>
    <n v="3"/>
    <n v="13"/>
    <n v="11"/>
    <n v="1"/>
    <n v="9"/>
  </r>
  <r>
    <x v="13"/>
    <x v="1"/>
    <x v="0"/>
    <n v="1153"/>
    <x v="1"/>
    <n v="1"/>
    <n v="2"/>
    <x v="2"/>
    <x v="0"/>
    <x v="84"/>
    <n v="1"/>
    <x v="1"/>
    <n v="94"/>
    <n v="3"/>
    <n v="2"/>
    <x v="3"/>
    <n v="2"/>
    <x v="1"/>
    <n v="4325"/>
    <n v="17736"/>
    <n v="1"/>
    <s v="Y"/>
    <x v="1"/>
    <n v="15"/>
    <n v="3"/>
    <n v="3"/>
    <n v="80"/>
    <n v="0"/>
    <n v="5"/>
    <n v="2"/>
    <n v="3"/>
    <n v="5"/>
    <n v="2"/>
    <n v="1"/>
    <n v="3"/>
  </r>
  <r>
    <x v="29"/>
    <x v="1"/>
    <x v="0"/>
    <n v="1400"/>
    <x v="1"/>
    <n v="7"/>
    <n v="3"/>
    <x v="0"/>
    <x v="0"/>
    <x v="85"/>
    <n v="4"/>
    <x v="1"/>
    <n v="49"/>
    <n v="1"/>
    <n v="3"/>
    <x v="3"/>
    <n v="4"/>
    <x v="0"/>
    <n v="7260"/>
    <n v="21698"/>
    <n v="4"/>
    <s v="Y"/>
    <x v="1"/>
    <n v="11"/>
    <n v="3"/>
    <n v="1"/>
    <n v="80"/>
    <n v="0"/>
    <n v="37"/>
    <n v="3"/>
    <n v="2"/>
    <n v="6"/>
    <n v="4"/>
    <n v="0"/>
    <n v="2"/>
  </r>
  <r>
    <x v="30"/>
    <x v="1"/>
    <x v="0"/>
    <n v="541"/>
    <x v="0"/>
    <n v="2"/>
    <n v="1"/>
    <x v="4"/>
    <x v="0"/>
    <x v="86"/>
    <n v="3"/>
    <x v="1"/>
    <n v="62"/>
    <n v="3"/>
    <n v="1"/>
    <x v="6"/>
    <n v="1"/>
    <x v="2"/>
    <n v="2322"/>
    <n v="9518"/>
    <n v="3"/>
    <s v="Y"/>
    <x v="1"/>
    <n v="13"/>
    <n v="3"/>
    <n v="3"/>
    <n v="80"/>
    <n v="1"/>
    <n v="3"/>
    <n v="3"/>
    <n v="3"/>
    <n v="0"/>
    <n v="0"/>
    <n v="0"/>
    <n v="0"/>
  </r>
  <r>
    <x v="31"/>
    <x v="1"/>
    <x v="0"/>
    <n v="432"/>
    <x v="1"/>
    <n v="9"/>
    <n v="4"/>
    <x v="0"/>
    <x v="0"/>
    <x v="87"/>
    <n v="4"/>
    <x v="1"/>
    <n v="96"/>
    <n v="3"/>
    <n v="1"/>
    <x v="2"/>
    <n v="4"/>
    <x v="1"/>
    <n v="2075"/>
    <n v="18725"/>
    <n v="3"/>
    <s v="Y"/>
    <x v="1"/>
    <n v="23"/>
    <n v="4"/>
    <n v="2"/>
    <n v="80"/>
    <n v="2"/>
    <n v="10"/>
    <n v="4"/>
    <n v="3"/>
    <n v="4"/>
    <n v="2"/>
    <n v="0"/>
    <n v="3"/>
  </r>
  <r>
    <x v="7"/>
    <x v="1"/>
    <x v="0"/>
    <n v="288"/>
    <x v="1"/>
    <n v="2"/>
    <n v="3"/>
    <x v="0"/>
    <x v="0"/>
    <x v="88"/>
    <n v="3"/>
    <x v="1"/>
    <n v="99"/>
    <n v="2"/>
    <n v="2"/>
    <x v="4"/>
    <n v="4"/>
    <x v="1"/>
    <n v="4152"/>
    <n v="15830"/>
    <n v="1"/>
    <s v="Y"/>
    <x v="1"/>
    <n v="19"/>
    <n v="3"/>
    <n v="1"/>
    <n v="80"/>
    <n v="3"/>
    <n v="11"/>
    <n v="3"/>
    <n v="3"/>
    <n v="11"/>
    <n v="10"/>
    <n v="10"/>
    <n v="8"/>
  </r>
  <r>
    <x v="21"/>
    <x v="0"/>
    <x v="0"/>
    <n v="669"/>
    <x v="0"/>
    <n v="9"/>
    <n v="2"/>
    <x v="2"/>
    <x v="0"/>
    <x v="89"/>
    <n v="3"/>
    <x v="1"/>
    <n v="64"/>
    <n v="2"/>
    <n v="3"/>
    <x v="0"/>
    <n v="4"/>
    <x v="0"/>
    <n v="9619"/>
    <n v="13596"/>
    <n v="1"/>
    <s v="Y"/>
    <x v="1"/>
    <n v="16"/>
    <n v="3"/>
    <n v="4"/>
    <n v="80"/>
    <n v="0"/>
    <n v="9"/>
    <n v="3"/>
    <n v="3"/>
    <n v="9"/>
    <n v="8"/>
    <n v="4"/>
    <n v="7"/>
  </r>
  <r>
    <x v="32"/>
    <x v="1"/>
    <x v="1"/>
    <n v="530"/>
    <x v="1"/>
    <n v="1"/>
    <n v="4"/>
    <x v="0"/>
    <x v="0"/>
    <x v="90"/>
    <n v="3"/>
    <x v="1"/>
    <n v="78"/>
    <n v="2"/>
    <n v="4"/>
    <x v="4"/>
    <n v="2"/>
    <x v="1"/>
    <n v="13503"/>
    <n v="14115"/>
    <n v="1"/>
    <s v="Y"/>
    <x v="1"/>
    <n v="22"/>
    <n v="4"/>
    <n v="4"/>
    <n v="80"/>
    <n v="1"/>
    <n v="22"/>
    <n v="3"/>
    <n v="2"/>
    <n v="22"/>
    <n v="3"/>
    <n v="11"/>
    <n v="11"/>
  </r>
  <r>
    <x v="31"/>
    <x v="1"/>
    <x v="0"/>
    <n v="632"/>
    <x v="0"/>
    <n v="21"/>
    <n v="4"/>
    <x v="3"/>
    <x v="0"/>
    <x v="91"/>
    <n v="3"/>
    <x v="1"/>
    <n v="71"/>
    <n v="3"/>
    <n v="2"/>
    <x v="0"/>
    <n v="4"/>
    <x v="0"/>
    <n v="5441"/>
    <n v="8423"/>
    <n v="0"/>
    <s v="Y"/>
    <x v="0"/>
    <n v="22"/>
    <n v="4"/>
    <n v="4"/>
    <n v="80"/>
    <n v="0"/>
    <n v="11"/>
    <n v="2"/>
    <n v="1"/>
    <n v="10"/>
    <n v="7"/>
    <n v="1"/>
    <n v="0"/>
  </r>
  <r>
    <x v="7"/>
    <x v="1"/>
    <x v="0"/>
    <n v="1334"/>
    <x v="0"/>
    <n v="4"/>
    <n v="2"/>
    <x v="2"/>
    <x v="0"/>
    <x v="92"/>
    <n v="3"/>
    <x v="0"/>
    <n v="63"/>
    <n v="2"/>
    <n v="2"/>
    <x v="0"/>
    <n v="2"/>
    <x v="2"/>
    <n v="5209"/>
    <n v="19760"/>
    <n v="1"/>
    <s v="Y"/>
    <x v="0"/>
    <n v="12"/>
    <n v="3"/>
    <n v="2"/>
    <n v="80"/>
    <n v="3"/>
    <n v="11"/>
    <n v="4"/>
    <n v="2"/>
    <n v="11"/>
    <n v="8"/>
    <n v="2"/>
    <n v="7"/>
  </r>
  <r>
    <x v="21"/>
    <x v="1"/>
    <x v="1"/>
    <n v="638"/>
    <x v="1"/>
    <n v="1"/>
    <n v="3"/>
    <x v="2"/>
    <x v="0"/>
    <x v="93"/>
    <n v="3"/>
    <x v="1"/>
    <n v="40"/>
    <n v="2"/>
    <n v="3"/>
    <x v="4"/>
    <n v="1"/>
    <x v="1"/>
    <n v="10673"/>
    <n v="3142"/>
    <n v="2"/>
    <s v="Y"/>
    <x v="0"/>
    <n v="13"/>
    <n v="3"/>
    <n v="3"/>
    <n v="80"/>
    <n v="1"/>
    <n v="21"/>
    <n v="5"/>
    <n v="2"/>
    <n v="10"/>
    <n v="9"/>
    <n v="9"/>
    <n v="5"/>
  </r>
  <r>
    <x v="5"/>
    <x v="1"/>
    <x v="0"/>
    <n v="1093"/>
    <x v="0"/>
    <n v="6"/>
    <n v="4"/>
    <x v="2"/>
    <x v="0"/>
    <x v="94"/>
    <n v="2"/>
    <x v="1"/>
    <n v="87"/>
    <n v="3"/>
    <n v="2"/>
    <x v="0"/>
    <n v="3"/>
    <x v="0"/>
    <n v="5010"/>
    <n v="24301"/>
    <n v="1"/>
    <s v="Y"/>
    <x v="1"/>
    <n v="16"/>
    <n v="3"/>
    <n v="1"/>
    <n v="80"/>
    <n v="0"/>
    <n v="12"/>
    <n v="0"/>
    <n v="3"/>
    <n v="11"/>
    <n v="8"/>
    <n v="5"/>
    <n v="7"/>
  </r>
  <r>
    <x v="33"/>
    <x v="1"/>
    <x v="0"/>
    <n v="1217"/>
    <x v="1"/>
    <n v="2"/>
    <n v="4"/>
    <x v="4"/>
    <x v="0"/>
    <x v="95"/>
    <n v="1"/>
    <x v="0"/>
    <n v="60"/>
    <n v="3"/>
    <n v="3"/>
    <x v="7"/>
    <n v="3"/>
    <x v="1"/>
    <n v="13549"/>
    <n v="24001"/>
    <n v="9"/>
    <s v="Y"/>
    <x v="1"/>
    <n v="12"/>
    <n v="3"/>
    <n v="1"/>
    <n v="80"/>
    <n v="1"/>
    <n v="16"/>
    <n v="5"/>
    <n v="1"/>
    <n v="4"/>
    <n v="3"/>
    <n v="0"/>
    <n v="3"/>
  </r>
  <r>
    <x v="17"/>
    <x v="1"/>
    <x v="0"/>
    <n v="1353"/>
    <x v="0"/>
    <n v="3"/>
    <n v="2"/>
    <x v="1"/>
    <x v="0"/>
    <x v="96"/>
    <n v="1"/>
    <x v="0"/>
    <n v="33"/>
    <n v="3"/>
    <n v="2"/>
    <x v="0"/>
    <n v="3"/>
    <x v="1"/>
    <n v="4999"/>
    <n v="17519"/>
    <n v="0"/>
    <s v="Y"/>
    <x v="1"/>
    <n v="21"/>
    <n v="4"/>
    <n v="1"/>
    <n v="80"/>
    <n v="1"/>
    <n v="4"/>
    <n v="2"/>
    <n v="2"/>
    <n v="3"/>
    <n v="2"/>
    <n v="0"/>
    <n v="2"/>
  </r>
  <r>
    <x v="14"/>
    <x v="1"/>
    <x v="2"/>
    <n v="120"/>
    <x v="0"/>
    <n v="4"/>
    <n v="3"/>
    <x v="2"/>
    <x v="0"/>
    <x v="97"/>
    <n v="2"/>
    <x v="1"/>
    <n v="43"/>
    <n v="3"/>
    <n v="2"/>
    <x v="0"/>
    <n v="3"/>
    <x v="1"/>
    <n v="4221"/>
    <n v="8863"/>
    <n v="1"/>
    <s v="Y"/>
    <x v="1"/>
    <n v="15"/>
    <n v="3"/>
    <n v="2"/>
    <n v="80"/>
    <n v="0"/>
    <n v="5"/>
    <n v="3"/>
    <n v="4"/>
    <n v="5"/>
    <n v="4"/>
    <n v="0"/>
    <n v="4"/>
  </r>
  <r>
    <x v="34"/>
    <x v="1"/>
    <x v="0"/>
    <n v="682"/>
    <x v="0"/>
    <n v="10"/>
    <n v="4"/>
    <x v="2"/>
    <x v="0"/>
    <x v="98"/>
    <n v="4"/>
    <x v="1"/>
    <n v="37"/>
    <n v="3"/>
    <n v="4"/>
    <x v="0"/>
    <n v="3"/>
    <x v="0"/>
    <n v="13872"/>
    <n v="24409"/>
    <n v="0"/>
    <s v="Y"/>
    <x v="1"/>
    <n v="13"/>
    <n v="3"/>
    <n v="3"/>
    <n v="80"/>
    <n v="0"/>
    <n v="38"/>
    <n v="1"/>
    <n v="2"/>
    <n v="37"/>
    <n v="10"/>
    <n v="1"/>
    <n v="8"/>
  </r>
  <r>
    <x v="20"/>
    <x v="1"/>
    <x v="2"/>
    <n v="489"/>
    <x v="1"/>
    <n v="23"/>
    <n v="3"/>
    <x v="2"/>
    <x v="0"/>
    <x v="99"/>
    <n v="2"/>
    <x v="1"/>
    <n v="67"/>
    <n v="3"/>
    <n v="2"/>
    <x v="2"/>
    <n v="2"/>
    <x v="1"/>
    <n v="2042"/>
    <n v="25043"/>
    <n v="4"/>
    <s v="Y"/>
    <x v="1"/>
    <n v="12"/>
    <n v="3"/>
    <n v="3"/>
    <n v="80"/>
    <n v="1"/>
    <n v="17"/>
    <n v="3"/>
    <n v="4"/>
    <n v="3"/>
    <n v="2"/>
    <n v="1"/>
    <n v="2"/>
  </r>
  <r>
    <x v="2"/>
    <x v="0"/>
    <x v="0"/>
    <n v="807"/>
    <x v="2"/>
    <n v="6"/>
    <n v="4"/>
    <x v="5"/>
    <x v="0"/>
    <x v="100"/>
    <n v="3"/>
    <x v="1"/>
    <n v="63"/>
    <n v="3"/>
    <n v="1"/>
    <x v="8"/>
    <n v="1"/>
    <x v="2"/>
    <n v="2073"/>
    <n v="23648"/>
    <n v="4"/>
    <s v="Y"/>
    <x v="0"/>
    <n v="22"/>
    <n v="4"/>
    <n v="4"/>
    <n v="80"/>
    <n v="0"/>
    <n v="7"/>
    <n v="3"/>
    <n v="3"/>
    <n v="3"/>
    <n v="2"/>
    <n v="0"/>
    <n v="2"/>
  </r>
  <r>
    <x v="5"/>
    <x v="1"/>
    <x v="0"/>
    <n v="827"/>
    <x v="1"/>
    <n v="1"/>
    <n v="1"/>
    <x v="0"/>
    <x v="0"/>
    <x v="101"/>
    <n v="4"/>
    <x v="1"/>
    <n v="71"/>
    <n v="3"/>
    <n v="1"/>
    <x v="1"/>
    <n v="1"/>
    <x v="0"/>
    <n v="2956"/>
    <n v="15178"/>
    <n v="1"/>
    <s v="Y"/>
    <x v="1"/>
    <n v="13"/>
    <n v="3"/>
    <n v="4"/>
    <n v="80"/>
    <n v="0"/>
    <n v="1"/>
    <n v="2"/>
    <n v="3"/>
    <n v="1"/>
    <n v="0"/>
    <n v="0"/>
    <n v="0"/>
  </r>
  <r>
    <x v="35"/>
    <x v="0"/>
    <x v="1"/>
    <n v="871"/>
    <x v="1"/>
    <n v="6"/>
    <n v="3"/>
    <x v="0"/>
    <x v="0"/>
    <x v="102"/>
    <n v="4"/>
    <x v="0"/>
    <n v="66"/>
    <n v="2"/>
    <n v="1"/>
    <x v="2"/>
    <n v="4"/>
    <x v="0"/>
    <n v="2926"/>
    <n v="19783"/>
    <n v="1"/>
    <s v="Y"/>
    <x v="0"/>
    <n v="18"/>
    <n v="3"/>
    <n v="2"/>
    <n v="80"/>
    <n v="0"/>
    <n v="1"/>
    <n v="5"/>
    <n v="3"/>
    <n v="1"/>
    <n v="0"/>
    <n v="1"/>
    <n v="0"/>
  </r>
  <r>
    <x v="13"/>
    <x v="1"/>
    <x v="0"/>
    <n v="665"/>
    <x v="1"/>
    <n v="6"/>
    <n v="4"/>
    <x v="1"/>
    <x v="0"/>
    <x v="103"/>
    <n v="1"/>
    <x v="0"/>
    <n v="41"/>
    <n v="3"/>
    <n v="2"/>
    <x v="1"/>
    <n v="3"/>
    <x v="0"/>
    <n v="4809"/>
    <n v="12482"/>
    <n v="1"/>
    <s v="Y"/>
    <x v="1"/>
    <n v="14"/>
    <n v="3"/>
    <n v="3"/>
    <n v="80"/>
    <n v="0"/>
    <n v="16"/>
    <n v="3"/>
    <n v="3"/>
    <n v="16"/>
    <n v="13"/>
    <n v="2"/>
    <n v="10"/>
  </r>
  <r>
    <x v="2"/>
    <x v="1"/>
    <x v="2"/>
    <n v="1040"/>
    <x v="1"/>
    <n v="2"/>
    <n v="2"/>
    <x v="0"/>
    <x v="0"/>
    <x v="104"/>
    <n v="3"/>
    <x v="1"/>
    <n v="100"/>
    <n v="2"/>
    <n v="2"/>
    <x v="4"/>
    <n v="4"/>
    <x v="2"/>
    <n v="5163"/>
    <n v="15850"/>
    <n v="5"/>
    <s v="Y"/>
    <x v="1"/>
    <n v="14"/>
    <n v="3"/>
    <n v="4"/>
    <n v="80"/>
    <n v="1"/>
    <n v="17"/>
    <n v="2"/>
    <n v="4"/>
    <n v="1"/>
    <n v="0"/>
    <n v="0"/>
    <n v="0"/>
  </r>
  <r>
    <x v="6"/>
    <x v="1"/>
    <x v="2"/>
    <n v="1420"/>
    <x v="2"/>
    <n v="2"/>
    <n v="4"/>
    <x v="5"/>
    <x v="0"/>
    <x v="105"/>
    <n v="3"/>
    <x v="0"/>
    <n v="32"/>
    <n v="2"/>
    <n v="5"/>
    <x v="5"/>
    <n v="4"/>
    <x v="1"/>
    <n v="18844"/>
    <n v="21922"/>
    <n v="9"/>
    <s v="Y"/>
    <x v="1"/>
    <n v="21"/>
    <n v="4"/>
    <n v="4"/>
    <n v="80"/>
    <n v="1"/>
    <n v="30"/>
    <n v="3"/>
    <n v="3"/>
    <n v="3"/>
    <n v="2"/>
    <n v="2"/>
    <n v="2"/>
  </r>
  <r>
    <x v="24"/>
    <x v="1"/>
    <x v="1"/>
    <n v="1115"/>
    <x v="1"/>
    <n v="1"/>
    <n v="3"/>
    <x v="0"/>
    <x v="0"/>
    <x v="106"/>
    <n v="1"/>
    <x v="0"/>
    <n v="73"/>
    <n v="3"/>
    <n v="5"/>
    <x v="7"/>
    <n v="2"/>
    <x v="1"/>
    <n v="18172"/>
    <n v="9755"/>
    <n v="3"/>
    <s v="Y"/>
    <x v="0"/>
    <n v="19"/>
    <n v="3"/>
    <n v="1"/>
    <n v="80"/>
    <n v="0"/>
    <n v="28"/>
    <n v="1"/>
    <n v="2"/>
    <n v="8"/>
    <n v="3"/>
    <n v="0"/>
    <n v="7"/>
  </r>
  <r>
    <x v="36"/>
    <x v="0"/>
    <x v="0"/>
    <n v="240"/>
    <x v="0"/>
    <n v="5"/>
    <n v="3"/>
    <x v="3"/>
    <x v="0"/>
    <x v="107"/>
    <n v="3"/>
    <x v="1"/>
    <n v="46"/>
    <n v="2"/>
    <n v="2"/>
    <x v="0"/>
    <n v="3"/>
    <x v="0"/>
    <n v="5744"/>
    <n v="26959"/>
    <n v="1"/>
    <s v="Y"/>
    <x v="0"/>
    <n v="11"/>
    <n v="3"/>
    <n v="4"/>
    <n v="80"/>
    <n v="0"/>
    <n v="6"/>
    <n v="1"/>
    <n v="3"/>
    <n v="6"/>
    <n v="4"/>
    <n v="0"/>
    <n v="3"/>
  </r>
  <r>
    <x v="36"/>
    <x v="1"/>
    <x v="0"/>
    <n v="1280"/>
    <x v="1"/>
    <n v="7"/>
    <n v="1"/>
    <x v="2"/>
    <x v="0"/>
    <x v="108"/>
    <n v="4"/>
    <x v="1"/>
    <n v="64"/>
    <n v="2"/>
    <n v="1"/>
    <x v="1"/>
    <n v="4"/>
    <x v="1"/>
    <n v="2889"/>
    <n v="26897"/>
    <n v="1"/>
    <s v="Y"/>
    <x v="1"/>
    <n v="11"/>
    <n v="3"/>
    <n v="3"/>
    <n v="80"/>
    <n v="2"/>
    <n v="2"/>
    <n v="2"/>
    <n v="3"/>
    <n v="2"/>
    <n v="2"/>
    <n v="2"/>
    <n v="1"/>
  </r>
  <r>
    <x v="15"/>
    <x v="1"/>
    <x v="0"/>
    <n v="534"/>
    <x v="1"/>
    <n v="15"/>
    <n v="3"/>
    <x v="2"/>
    <x v="0"/>
    <x v="109"/>
    <n v="2"/>
    <x v="0"/>
    <n v="59"/>
    <n v="3"/>
    <n v="1"/>
    <x v="2"/>
    <n v="4"/>
    <x v="0"/>
    <n v="2871"/>
    <n v="23785"/>
    <n v="1"/>
    <s v="Y"/>
    <x v="1"/>
    <n v="15"/>
    <n v="3"/>
    <n v="3"/>
    <n v="80"/>
    <n v="0"/>
    <n v="1"/>
    <n v="5"/>
    <n v="3"/>
    <n v="0"/>
    <n v="0"/>
    <n v="0"/>
    <n v="0"/>
  </r>
  <r>
    <x v="31"/>
    <x v="1"/>
    <x v="1"/>
    <n v="1456"/>
    <x v="1"/>
    <n v="1"/>
    <n v="4"/>
    <x v="2"/>
    <x v="0"/>
    <x v="110"/>
    <n v="1"/>
    <x v="0"/>
    <n v="30"/>
    <n v="2"/>
    <n v="3"/>
    <x v="4"/>
    <n v="1"/>
    <x v="0"/>
    <n v="7484"/>
    <n v="25796"/>
    <n v="3"/>
    <s v="Y"/>
    <x v="1"/>
    <n v="20"/>
    <n v="4"/>
    <n v="3"/>
    <n v="80"/>
    <n v="0"/>
    <n v="23"/>
    <n v="1"/>
    <n v="2"/>
    <n v="13"/>
    <n v="12"/>
    <n v="12"/>
    <n v="8"/>
  </r>
  <r>
    <x v="13"/>
    <x v="0"/>
    <x v="1"/>
    <n v="658"/>
    <x v="1"/>
    <n v="7"/>
    <n v="3"/>
    <x v="0"/>
    <x v="0"/>
    <x v="111"/>
    <n v="1"/>
    <x v="1"/>
    <n v="66"/>
    <n v="1"/>
    <n v="2"/>
    <x v="2"/>
    <n v="3"/>
    <x v="0"/>
    <n v="6074"/>
    <n v="22887"/>
    <n v="1"/>
    <s v="Y"/>
    <x v="0"/>
    <n v="24"/>
    <n v="4"/>
    <n v="4"/>
    <n v="80"/>
    <n v="0"/>
    <n v="9"/>
    <n v="3"/>
    <n v="3"/>
    <n v="9"/>
    <n v="7"/>
    <n v="0"/>
    <n v="6"/>
  </r>
  <r>
    <x v="33"/>
    <x v="1"/>
    <x v="2"/>
    <n v="142"/>
    <x v="2"/>
    <n v="26"/>
    <n v="3"/>
    <x v="5"/>
    <x v="0"/>
    <x v="112"/>
    <n v="4"/>
    <x v="0"/>
    <n v="30"/>
    <n v="4"/>
    <n v="4"/>
    <x v="5"/>
    <n v="4"/>
    <x v="0"/>
    <n v="17328"/>
    <n v="13871"/>
    <n v="2"/>
    <s v="Y"/>
    <x v="0"/>
    <n v="12"/>
    <n v="3"/>
    <n v="3"/>
    <n v="80"/>
    <n v="0"/>
    <n v="23"/>
    <n v="3"/>
    <n v="3"/>
    <n v="5"/>
    <n v="3"/>
    <n v="4"/>
    <n v="4"/>
  </r>
  <r>
    <x v="17"/>
    <x v="1"/>
    <x v="0"/>
    <n v="1127"/>
    <x v="1"/>
    <n v="18"/>
    <n v="1"/>
    <x v="0"/>
    <x v="0"/>
    <x v="113"/>
    <n v="2"/>
    <x v="1"/>
    <n v="52"/>
    <n v="3"/>
    <n v="1"/>
    <x v="2"/>
    <n v="3"/>
    <x v="1"/>
    <n v="2774"/>
    <n v="13257"/>
    <n v="0"/>
    <s v="Y"/>
    <x v="1"/>
    <n v="12"/>
    <n v="3"/>
    <n v="3"/>
    <n v="80"/>
    <n v="1"/>
    <n v="6"/>
    <n v="2"/>
    <n v="3"/>
    <n v="5"/>
    <n v="3"/>
    <n v="1"/>
    <n v="2"/>
  </r>
  <r>
    <x v="13"/>
    <x v="1"/>
    <x v="0"/>
    <n v="1031"/>
    <x v="1"/>
    <n v="6"/>
    <n v="4"/>
    <x v="0"/>
    <x v="0"/>
    <x v="114"/>
    <n v="3"/>
    <x v="0"/>
    <n v="45"/>
    <n v="2"/>
    <n v="2"/>
    <x v="1"/>
    <n v="2"/>
    <x v="2"/>
    <n v="4505"/>
    <n v="15000"/>
    <n v="6"/>
    <s v="Y"/>
    <x v="1"/>
    <n v="15"/>
    <n v="3"/>
    <n v="3"/>
    <n v="80"/>
    <n v="1"/>
    <n v="12"/>
    <n v="3"/>
    <n v="3"/>
    <n v="1"/>
    <n v="0"/>
    <n v="0"/>
    <n v="0"/>
  </r>
  <r>
    <x v="2"/>
    <x v="1"/>
    <x v="0"/>
    <n v="1189"/>
    <x v="0"/>
    <n v="3"/>
    <n v="3"/>
    <x v="0"/>
    <x v="0"/>
    <x v="115"/>
    <n v="3"/>
    <x v="1"/>
    <n v="87"/>
    <n v="3"/>
    <n v="3"/>
    <x v="0"/>
    <n v="4"/>
    <x v="0"/>
    <n v="7428"/>
    <n v="14506"/>
    <n v="2"/>
    <s v="Y"/>
    <x v="1"/>
    <n v="12"/>
    <n v="3"/>
    <n v="1"/>
    <n v="80"/>
    <n v="0"/>
    <n v="12"/>
    <n v="3"/>
    <n v="3"/>
    <n v="5"/>
    <n v="3"/>
    <n v="1"/>
    <n v="3"/>
  </r>
  <r>
    <x v="13"/>
    <x v="1"/>
    <x v="0"/>
    <n v="1354"/>
    <x v="1"/>
    <n v="5"/>
    <n v="3"/>
    <x v="2"/>
    <x v="0"/>
    <x v="116"/>
    <n v="3"/>
    <x v="0"/>
    <n v="45"/>
    <n v="2"/>
    <n v="3"/>
    <x v="5"/>
    <n v="1"/>
    <x v="0"/>
    <n v="11631"/>
    <n v="5615"/>
    <n v="2"/>
    <s v="Y"/>
    <x v="1"/>
    <n v="12"/>
    <n v="3"/>
    <n v="4"/>
    <n v="80"/>
    <n v="0"/>
    <n v="14"/>
    <n v="6"/>
    <n v="3"/>
    <n v="11"/>
    <n v="10"/>
    <n v="5"/>
    <n v="8"/>
  </r>
  <r>
    <x v="9"/>
    <x v="1"/>
    <x v="1"/>
    <n v="1467"/>
    <x v="0"/>
    <n v="11"/>
    <n v="2"/>
    <x v="4"/>
    <x v="0"/>
    <x v="117"/>
    <n v="2"/>
    <x v="0"/>
    <n v="92"/>
    <n v="3"/>
    <n v="3"/>
    <x v="0"/>
    <n v="4"/>
    <x v="1"/>
    <n v="9738"/>
    <n v="22952"/>
    <n v="0"/>
    <s v="Y"/>
    <x v="1"/>
    <n v="14"/>
    <n v="3"/>
    <n v="3"/>
    <n v="80"/>
    <n v="1"/>
    <n v="10"/>
    <n v="6"/>
    <n v="3"/>
    <n v="9"/>
    <n v="7"/>
    <n v="2"/>
    <n v="8"/>
  </r>
  <r>
    <x v="9"/>
    <x v="1"/>
    <x v="0"/>
    <n v="922"/>
    <x v="1"/>
    <n v="3"/>
    <n v="2"/>
    <x v="0"/>
    <x v="0"/>
    <x v="118"/>
    <n v="1"/>
    <x v="0"/>
    <n v="39"/>
    <n v="3"/>
    <n v="1"/>
    <x v="2"/>
    <n v="4"/>
    <x v="2"/>
    <n v="2835"/>
    <n v="2561"/>
    <n v="5"/>
    <s v="Y"/>
    <x v="1"/>
    <n v="22"/>
    <n v="4"/>
    <n v="1"/>
    <n v="80"/>
    <n v="1"/>
    <n v="7"/>
    <n v="2"/>
    <n v="3"/>
    <n v="1"/>
    <n v="0"/>
    <n v="0"/>
    <n v="0"/>
  </r>
  <r>
    <x v="23"/>
    <x v="1"/>
    <x v="1"/>
    <n v="394"/>
    <x v="0"/>
    <n v="26"/>
    <n v="2"/>
    <x v="0"/>
    <x v="0"/>
    <x v="119"/>
    <n v="3"/>
    <x v="1"/>
    <n v="92"/>
    <n v="3"/>
    <n v="4"/>
    <x v="5"/>
    <n v="4"/>
    <x v="1"/>
    <n v="16959"/>
    <n v="19494"/>
    <n v="1"/>
    <s v="Y"/>
    <x v="0"/>
    <n v="12"/>
    <n v="3"/>
    <n v="4"/>
    <n v="80"/>
    <n v="2"/>
    <n v="25"/>
    <n v="3"/>
    <n v="4"/>
    <n v="25"/>
    <n v="12"/>
    <n v="4"/>
    <n v="12"/>
  </r>
  <r>
    <x v="7"/>
    <x v="1"/>
    <x v="1"/>
    <n v="1312"/>
    <x v="1"/>
    <n v="23"/>
    <n v="3"/>
    <x v="0"/>
    <x v="0"/>
    <x v="120"/>
    <n v="1"/>
    <x v="1"/>
    <n v="96"/>
    <n v="1"/>
    <n v="1"/>
    <x v="1"/>
    <n v="3"/>
    <x v="2"/>
    <n v="2613"/>
    <n v="22310"/>
    <n v="1"/>
    <s v="Y"/>
    <x v="1"/>
    <n v="25"/>
    <n v="4"/>
    <n v="3"/>
    <n v="80"/>
    <n v="3"/>
    <n v="10"/>
    <n v="2"/>
    <n v="2"/>
    <n v="10"/>
    <n v="7"/>
    <n v="0"/>
    <n v="9"/>
  </r>
  <r>
    <x v="3"/>
    <x v="1"/>
    <x v="2"/>
    <n v="750"/>
    <x v="0"/>
    <n v="22"/>
    <n v="2"/>
    <x v="3"/>
    <x v="0"/>
    <x v="121"/>
    <n v="3"/>
    <x v="1"/>
    <n v="95"/>
    <n v="3"/>
    <n v="2"/>
    <x v="0"/>
    <n v="2"/>
    <x v="1"/>
    <n v="6146"/>
    <n v="15480"/>
    <n v="0"/>
    <s v="Y"/>
    <x v="1"/>
    <n v="13"/>
    <n v="3"/>
    <n v="1"/>
    <n v="80"/>
    <n v="1"/>
    <n v="8"/>
    <n v="2"/>
    <n v="4"/>
    <n v="7"/>
    <n v="7"/>
    <n v="0"/>
    <n v="7"/>
  </r>
  <r>
    <x v="29"/>
    <x v="0"/>
    <x v="0"/>
    <n v="441"/>
    <x v="1"/>
    <n v="14"/>
    <n v="4"/>
    <x v="0"/>
    <x v="0"/>
    <x v="122"/>
    <n v="2"/>
    <x v="0"/>
    <n v="72"/>
    <n v="3"/>
    <n v="1"/>
    <x v="1"/>
    <n v="2"/>
    <x v="1"/>
    <n v="4963"/>
    <n v="4510"/>
    <n v="9"/>
    <s v="Y"/>
    <x v="0"/>
    <n v="18"/>
    <n v="3"/>
    <n v="1"/>
    <n v="80"/>
    <n v="3"/>
    <n v="7"/>
    <n v="2"/>
    <n v="3"/>
    <n v="5"/>
    <n v="4"/>
    <n v="4"/>
    <n v="3"/>
  </r>
  <r>
    <x v="31"/>
    <x v="1"/>
    <x v="0"/>
    <n v="684"/>
    <x v="1"/>
    <n v="6"/>
    <n v="3"/>
    <x v="0"/>
    <x v="0"/>
    <x v="123"/>
    <n v="1"/>
    <x v="1"/>
    <n v="51"/>
    <n v="3"/>
    <n v="5"/>
    <x v="7"/>
    <n v="3"/>
    <x v="0"/>
    <n v="19537"/>
    <n v="6462"/>
    <n v="7"/>
    <s v="Y"/>
    <x v="1"/>
    <n v="13"/>
    <n v="3"/>
    <n v="3"/>
    <n v="80"/>
    <n v="0"/>
    <n v="23"/>
    <n v="5"/>
    <n v="3"/>
    <n v="20"/>
    <n v="18"/>
    <n v="15"/>
    <n v="15"/>
  </r>
  <r>
    <x v="12"/>
    <x v="0"/>
    <x v="0"/>
    <n v="249"/>
    <x v="0"/>
    <n v="6"/>
    <n v="4"/>
    <x v="0"/>
    <x v="0"/>
    <x v="124"/>
    <n v="2"/>
    <x v="1"/>
    <n v="76"/>
    <n v="1"/>
    <n v="2"/>
    <x v="0"/>
    <n v="3"/>
    <x v="1"/>
    <n v="6172"/>
    <n v="20739"/>
    <n v="4"/>
    <s v="Y"/>
    <x v="0"/>
    <n v="18"/>
    <n v="3"/>
    <n v="2"/>
    <n v="80"/>
    <n v="0"/>
    <n v="12"/>
    <n v="3"/>
    <n v="2"/>
    <n v="7"/>
    <n v="7"/>
    <n v="7"/>
    <n v="7"/>
  </r>
  <r>
    <x v="25"/>
    <x v="1"/>
    <x v="0"/>
    <n v="841"/>
    <x v="1"/>
    <n v="6"/>
    <n v="3"/>
    <x v="1"/>
    <x v="0"/>
    <x v="125"/>
    <n v="3"/>
    <x v="0"/>
    <n v="46"/>
    <n v="2"/>
    <n v="1"/>
    <x v="1"/>
    <n v="2"/>
    <x v="1"/>
    <n v="2368"/>
    <n v="23300"/>
    <n v="1"/>
    <s v="Y"/>
    <x v="1"/>
    <n v="19"/>
    <n v="3"/>
    <n v="3"/>
    <n v="80"/>
    <n v="0"/>
    <n v="5"/>
    <n v="3"/>
    <n v="2"/>
    <n v="5"/>
    <n v="4"/>
    <n v="4"/>
    <n v="3"/>
  </r>
  <r>
    <x v="34"/>
    <x v="0"/>
    <x v="0"/>
    <n v="147"/>
    <x v="1"/>
    <n v="23"/>
    <n v="4"/>
    <x v="2"/>
    <x v="0"/>
    <x v="126"/>
    <n v="4"/>
    <x v="0"/>
    <n v="94"/>
    <n v="3"/>
    <n v="3"/>
    <x v="4"/>
    <n v="4"/>
    <x v="1"/>
    <n v="10312"/>
    <n v="3465"/>
    <n v="1"/>
    <s v="Y"/>
    <x v="1"/>
    <n v="12"/>
    <n v="3"/>
    <n v="4"/>
    <n v="80"/>
    <n v="1"/>
    <n v="40"/>
    <n v="3"/>
    <n v="2"/>
    <n v="40"/>
    <n v="10"/>
    <n v="15"/>
    <n v="6"/>
  </r>
  <r>
    <x v="37"/>
    <x v="0"/>
    <x v="0"/>
    <n v="528"/>
    <x v="0"/>
    <n v="22"/>
    <n v="1"/>
    <x v="3"/>
    <x v="0"/>
    <x v="127"/>
    <n v="4"/>
    <x v="1"/>
    <n v="50"/>
    <n v="3"/>
    <n v="1"/>
    <x v="6"/>
    <n v="3"/>
    <x v="0"/>
    <n v="1675"/>
    <n v="26820"/>
    <n v="1"/>
    <s v="Y"/>
    <x v="0"/>
    <n v="19"/>
    <n v="3"/>
    <n v="4"/>
    <n v="80"/>
    <n v="0"/>
    <n v="0"/>
    <n v="2"/>
    <n v="2"/>
    <n v="0"/>
    <n v="0"/>
    <n v="0"/>
    <n v="0"/>
  </r>
  <r>
    <x v="15"/>
    <x v="1"/>
    <x v="0"/>
    <n v="594"/>
    <x v="1"/>
    <n v="2"/>
    <n v="1"/>
    <x v="4"/>
    <x v="0"/>
    <x v="128"/>
    <n v="3"/>
    <x v="1"/>
    <n v="100"/>
    <n v="3"/>
    <n v="1"/>
    <x v="2"/>
    <n v="4"/>
    <x v="1"/>
    <n v="2523"/>
    <n v="19299"/>
    <n v="0"/>
    <s v="Y"/>
    <x v="1"/>
    <n v="14"/>
    <n v="3"/>
    <n v="3"/>
    <n v="80"/>
    <n v="1"/>
    <n v="3"/>
    <n v="2"/>
    <n v="3"/>
    <n v="2"/>
    <n v="1"/>
    <n v="2"/>
    <n v="1"/>
  </r>
  <r>
    <x v="1"/>
    <x v="1"/>
    <x v="0"/>
    <n v="470"/>
    <x v="1"/>
    <n v="20"/>
    <n v="4"/>
    <x v="2"/>
    <x v="0"/>
    <x v="129"/>
    <n v="3"/>
    <x v="0"/>
    <n v="96"/>
    <n v="3"/>
    <n v="2"/>
    <x v="3"/>
    <n v="1"/>
    <x v="1"/>
    <n v="6567"/>
    <n v="5549"/>
    <n v="1"/>
    <s v="Y"/>
    <x v="1"/>
    <n v="14"/>
    <n v="3"/>
    <n v="3"/>
    <n v="80"/>
    <n v="0"/>
    <n v="16"/>
    <n v="2"/>
    <n v="2"/>
    <n v="15"/>
    <n v="11"/>
    <n v="5"/>
    <n v="11"/>
  </r>
  <r>
    <x v="23"/>
    <x v="1"/>
    <x v="1"/>
    <n v="957"/>
    <x v="1"/>
    <n v="28"/>
    <n v="3"/>
    <x v="2"/>
    <x v="0"/>
    <x v="130"/>
    <n v="2"/>
    <x v="0"/>
    <n v="72"/>
    <n v="4"/>
    <n v="1"/>
    <x v="1"/>
    <n v="3"/>
    <x v="0"/>
    <n v="4739"/>
    <n v="16090"/>
    <n v="4"/>
    <s v="Y"/>
    <x v="1"/>
    <n v="12"/>
    <n v="3"/>
    <n v="4"/>
    <n v="80"/>
    <n v="0"/>
    <n v="18"/>
    <n v="2"/>
    <n v="3"/>
    <n v="3"/>
    <n v="2"/>
    <n v="1"/>
    <n v="2"/>
  </r>
  <r>
    <x v="24"/>
    <x v="1"/>
    <x v="1"/>
    <n v="809"/>
    <x v="0"/>
    <n v="12"/>
    <n v="3"/>
    <x v="3"/>
    <x v="0"/>
    <x v="131"/>
    <n v="3"/>
    <x v="0"/>
    <n v="77"/>
    <n v="3"/>
    <n v="3"/>
    <x v="0"/>
    <n v="4"/>
    <x v="0"/>
    <n v="9208"/>
    <n v="6645"/>
    <n v="4"/>
    <s v="Y"/>
    <x v="1"/>
    <n v="11"/>
    <n v="3"/>
    <n v="4"/>
    <n v="80"/>
    <n v="0"/>
    <n v="16"/>
    <n v="3"/>
    <n v="3"/>
    <n v="2"/>
    <n v="2"/>
    <n v="2"/>
    <n v="1"/>
  </r>
  <r>
    <x v="12"/>
    <x v="0"/>
    <x v="0"/>
    <n v="542"/>
    <x v="0"/>
    <n v="20"/>
    <n v="3"/>
    <x v="0"/>
    <x v="0"/>
    <x v="132"/>
    <n v="2"/>
    <x v="0"/>
    <n v="71"/>
    <n v="1"/>
    <n v="2"/>
    <x v="0"/>
    <n v="3"/>
    <x v="1"/>
    <n v="4559"/>
    <n v="24788"/>
    <n v="3"/>
    <s v="Y"/>
    <x v="0"/>
    <n v="11"/>
    <n v="3"/>
    <n v="3"/>
    <n v="80"/>
    <n v="1"/>
    <n v="4"/>
    <n v="2"/>
    <n v="3"/>
    <n v="2"/>
    <n v="2"/>
    <n v="2"/>
    <n v="2"/>
  </r>
  <r>
    <x v="0"/>
    <x v="1"/>
    <x v="0"/>
    <n v="802"/>
    <x v="0"/>
    <n v="9"/>
    <n v="1"/>
    <x v="0"/>
    <x v="0"/>
    <x v="133"/>
    <n v="3"/>
    <x v="1"/>
    <n v="96"/>
    <n v="3"/>
    <n v="3"/>
    <x v="0"/>
    <n v="3"/>
    <x v="2"/>
    <n v="8189"/>
    <n v="21196"/>
    <n v="3"/>
    <s v="Y"/>
    <x v="0"/>
    <n v="13"/>
    <n v="3"/>
    <n v="3"/>
    <n v="80"/>
    <n v="1"/>
    <n v="12"/>
    <n v="2"/>
    <n v="3"/>
    <n v="9"/>
    <n v="7"/>
    <n v="0"/>
    <n v="7"/>
  </r>
  <r>
    <x v="25"/>
    <x v="1"/>
    <x v="0"/>
    <n v="1355"/>
    <x v="2"/>
    <n v="25"/>
    <n v="1"/>
    <x v="0"/>
    <x v="0"/>
    <x v="134"/>
    <n v="3"/>
    <x v="0"/>
    <n v="61"/>
    <n v="3"/>
    <n v="1"/>
    <x v="8"/>
    <n v="3"/>
    <x v="1"/>
    <n v="2942"/>
    <n v="8916"/>
    <n v="1"/>
    <s v="Y"/>
    <x v="1"/>
    <n v="23"/>
    <n v="4"/>
    <n v="4"/>
    <n v="80"/>
    <n v="1"/>
    <n v="8"/>
    <n v="3"/>
    <n v="3"/>
    <n v="8"/>
    <n v="7"/>
    <n v="5"/>
    <n v="7"/>
  </r>
  <r>
    <x v="9"/>
    <x v="1"/>
    <x v="0"/>
    <n v="216"/>
    <x v="1"/>
    <n v="6"/>
    <n v="2"/>
    <x v="2"/>
    <x v="0"/>
    <x v="135"/>
    <n v="2"/>
    <x v="1"/>
    <n v="84"/>
    <n v="3"/>
    <n v="2"/>
    <x v="3"/>
    <n v="2"/>
    <x v="2"/>
    <n v="4941"/>
    <n v="2819"/>
    <n v="6"/>
    <s v="Y"/>
    <x v="1"/>
    <n v="20"/>
    <n v="4"/>
    <n v="4"/>
    <n v="80"/>
    <n v="2"/>
    <n v="7"/>
    <n v="0"/>
    <n v="3"/>
    <n v="3"/>
    <n v="2"/>
    <n v="0"/>
    <n v="1"/>
  </r>
  <r>
    <x v="31"/>
    <x v="0"/>
    <x v="1"/>
    <n v="1150"/>
    <x v="1"/>
    <n v="8"/>
    <n v="4"/>
    <x v="0"/>
    <x v="0"/>
    <x v="136"/>
    <n v="1"/>
    <x v="1"/>
    <n v="53"/>
    <n v="1"/>
    <n v="3"/>
    <x v="3"/>
    <n v="4"/>
    <x v="0"/>
    <n v="10650"/>
    <n v="25150"/>
    <n v="2"/>
    <s v="Y"/>
    <x v="1"/>
    <n v="15"/>
    <n v="3"/>
    <n v="4"/>
    <n v="80"/>
    <n v="0"/>
    <n v="18"/>
    <n v="2"/>
    <n v="3"/>
    <n v="4"/>
    <n v="2"/>
    <n v="0"/>
    <n v="3"/>
  </r>
  <r>
    <x v="22"/>
    <x v="1"/>
    <x v="0"/>
    <n v="1329"/>
    <x v="0"/>
    <n v="4"/>
    <n v="4"/>
    <x v="0"/>
    <x v="0"/>
    <x v="137"/>
    <n v="4"/>
    <x v="0"/>
    <n v="47"/>
    <n v="2"/>
    <n v="2"/>
    <x v="0"/>
    <n v="3"/>
    <x v="1"/>
    <n v="5902"/>
    <n v="14590"/>
    <n v="4"/>
    <s v="Y"/>
    <x v="1"/>
    <n v="14"/>
    <n v="3"/>
    <n v="3"/>
    <n v="80"/>
    <n v="1"/>
    <n v="17"/>
    <n v="1"/>
    <n v="4"/>
    <n v="15"/>
    <n v="11"/>
    <n v="5"/>
    <n v="9"/>
  </r>
  <r>
    <x v="36"/>
    <x v="1"/>
    <x v="0"/>
    <n v="959"/>
    <x v="0"/>
    <n v="28"/>
    <n v="3"/>
    <x v="0"/>
    <x v="0"/>
    <x v="138"/>
    <n v="1"/>
    <x v="1"/>
    <n v="41"/>
    <n v="2"/>
    <n v="2"/>
    <x v="0"/>
    <n v="3"/>
    <x v="1"/>
    <n v="8639"/>
    <n v="24835"/>
    <n v="2"/>
    <s v="Y"/>
    <x v="1"/>
    <n v="18"/>
    <n v="3"/>
    <n v="4"/>
    <n v="80"/>
    <n v="0"/>
    <n v="6"/>
    <n v="3"/>
    <n v="3"/>
    <n v="2"/>
    <n v="2"/>
    <n v="2"/>
    <n v="2"/>
  </r>
  <r>
    <x v="7"/>
    <x v="1"/>
    <x v="0"/>
    <n v="1240"/>
    <x v="2"/>
    <n v="9"/>
    <n v="3"/>
    <x v="5"/>
    <x v="0"/>
    <x v="139"/>
    <n v="3"/>
    <x v="1"/>
    <n v="48"/>
    <n v="3"/>
    <n v="2"/>
    <x v="8"/>
    <n v="4"/>
    <x v="1"/>
    <n v="6347"/>
    <n v="13982"/>
    <n v="0"/>
    <s v="Y"/>
    <x v="0"/>
    <n v="19"/>
    <n v="3"/>
    <n v="4"/>
    <n v="80"/>
    <n v="0"/>
    <n v="12"/>
    <n v="2"/>
    <n v="1"/>
    <n v="11"/>
    <n v="9"/>
    <n v="4"/>
    <n v="7"/>
  </r>
  <r>
    <x v="5"/>
    <x v="0"/>
    <x v="0"/>
    <n v="1033"/>
    <x v="1"/>
    <n v="9"/>
    <n v="3"/>
    <x v="2"/>
    <x v="0"/>
    <x v="140"/>
    <n v="1"/>
    <x v="0"/>
    <n v="41"/>
    <n v="3"/>
    <n v="1"/>
    <x v="2"/>
    <n v="1"/>
    <x v="0"/>
    <n v="4200"/>
    <n v="10224"/>
    <n v="7"/>
    <s v="Y"/>
    <x v="1"/>
    <n v="22"/>
    <n v="4"/>
    <n v="1"/>
    <n v="80"/>
    <n v="0"/>
    <n v="10"/>
    <n v="2"/>
    <n v="4"/>
    <n v="5"/>
    <n v="4"/>
    <n v="0"/>
    <n v="4"/>
  </r>
  <r>
    <x v="28"/>
    <x v="1"/>
    <x v="0"/>
    <n v="1316"/>
    <x v="1"/>
    <n v="29"/>
    <n v="3"/>
    <x v="2"/>
    <x v="0"/>
    <x v="141"/>
    <n v="3"/>
    <x v="1"/>
    <n v="83"/>
    <n v="3"/>
    <n v="1"/>
    <x v="1"/>
    <n v="4"/>
    <x v="0"/>
    <n v="3452"/>
    <n v="9752"/>
    <n v="5"/>
    <s v="Y"/>
    <x v="1"/>
    <n v="13"/>
    <n v="3"/>
    <n v="2"/>
    <n v="80"/>
    <n v="0"/>
    <n v="9"/>
    <n v="2"/>
    <n v="2"/>
    <n v="6"/>
    <n v="5"/>
    <n v="0"/>
    <n v="3"/>
  </r>
  <r>
    <x v="8"/>
    <x v="1"/>
    <x v="0"/>
    <n v="364"/>
    <x v="1"/>
    <n v="3"/>
    <n v="5"/>
    <x v="4"/>
    <x v="0"/>
    <x v="142"/>
    <n v="4"/>
    <x v="0"/>
    <n v="32"/>
    <n v="3"/>
    <n v="2"/>
    <x v="1"/>
    <n v="3"/>
    <x v="0"/>
    <n v="4317"/>
    <n v="2302"/>
    <n v="3"/>
    <s v="Y"/>
    <x v="0"/>
    <n v="20"/>
    <n v="4"/>
    <n v="2"/>
    <n v="80"/>
    <n v="0"/>
    <n v="19"/>
    <n v="2"/>
    <n v="3"/>
    <n v="3"/>
    <n v="2"/>
    <n v="2"/>
    <n v="2"/>
  </r>
  <r>
    <x v="7"/>
    <x v="1"/>
    <x v="0"/>
    <n v="438"/>
    <x v="1"/>
    <n v="18"/>
    <n v="3"/>
    <x v="0"/>
    <x v="0"/>
    <x v="143"/>
    <n v="1"/>
    <x v="0"/>
    <n v="75"/>
    <n v="3"/>
    <n v="1"/>
    <x v="1"/>
    <n v="3"/>
    <x v="0"/>
    <n v="2632"/>
    <n v="23910"/>
    <n v="1"/>
    <s v="Y"/>
    <x v="1"/>
    <n v="14"/>
    <n v="3"/>
    <n v="3"/>
    <n v="80"/>
    <n v="0"/>
    <n v="5"/>
    <n v="4"/>
    <n v="2"/>
    <n v="5"/>
    <n v="4"/>
    <n v="0"/>
    <n v="4"/>
  </r>
  <r>
    <x v="5"/>
    <x v="1"/>
    <x v="1"/>
    <n v="689"/>
    <x v="0"/>
    <n v="9"/>
    <n v="2"/>
    <x v="2"/>
    <x v="0"/>
    <x v="144"/>
    <n v="4"/>
    <x v="1"/>
    <n v="35"/>
    <n v="1"/>
    <n v="2"/>
    <x v="0"/>
    <n v="4"/>
    <x v="2"/>
    <n v="4668"/>
    <n v="22812"/>
    <n v="0"/>
    <s v="Y"/>
    <x v="1"/>
    <n v="17"/>
    <n v="3"/>
    <n v="4"/>
    <n v="80"/>
    <n v="3"/>
    <n v="9"/>
    <n v="2"/>
    <n v="4"/>
    <n v="8"/>
    <n v="7"/>
    <n v="0"/>
    <n v="7"/>
  </r>
  <r>
    <x v="7"/>
    <x v="1"/>
    <x v="0"/>
    <n v="201"/>
    <x v="1"/>
    <n v="5"/>
    <n v="3"/>
    <x v="4"/>
    <x v="0"/>
    <x v="145"/>
    <n v="4"/>
    <x v="0"/>
    <n v="84"/>
    <n v="3"/>
    <n v="1"/>
    <x v="1"/>
    <n v="1"/>
    <x v="2"/>
    <n v="3204"/>
    <n v="10415"/>
    <n v="5"/>
    <s v="Y"/>
    <x v="1"/>
    <n v="14"/>
    <n v="3"/>
    <n v="4"/>
    <n v="80"/>
    <n v="1"/>
    <n v="8"/>
    <n v="3"/>
    <n v="3"/>
    <n v="3"/>
    <n v="2"/>
    <n v="2"/>
    <n v="2"/>
  </r>
  <r>
    <x v="7"/>
    <x v="1"/>
    <x v="0"/>
    <n v="1427"/>
    <x v="1"/>
    <n v="2"/>
    <n v="1"/>
    <x v="2"/>
    <x v="0"/>
    <x v="146"/>
    <n v="2"/>
    <x v="1"/>
    <n v="35"/>
    <n v="2"/>
    <n v="1"/>
    <x v="2"/>
    <n v="4"/>
    <x v="0"/>
    <n v="2720"/>
    <n v="11162"/>
    <n v="0"/>
    <s v="Y"/>
    <x v="1"/>
    <n v="13"/>
    <n v="3"/>
    <n v="4"/>
    <n v="80"/>
    <n v="0"/>
    <n v="6"/>
    <n v="3"/>
    <n v="3"/>
    <n v="5"/>
    <n v="3"/>
    <n v="1"/>
    <n v="2"/>
  </r>
  <r>
    <x v="0"/>
    <x v="1"/>
    <x v="1"/>
    <n v="857"/>
    <x v="1"/>
    <n v="10"/>
    <n v="3"/>
    <x v="0"/>
    <x v="0"/>
    <x v="147"/>
    <n v="4"/>
    <x v="1"/>
    <n v="91"/>
    <n v="2"/>
    <n v="4"/>
    <x v="5"/>
    <n v="1"/>
    <x v="2"/>
    <n v="17181"/>
    <n v="12888"/>
    <n v="4"/>
    <s v="Y"/>
    <x v="1"/>
    <n v="13"/>
    <n v="3"/>
    <n v="2"/>
    <n v="80"/>
    <n v="1"/>
    <n v="21"/>
    <n v="2"/>
    <n v="2"/>
    <n v="7"/>
    <n v="6"/>
    <n v="7"/>
    <n v="7"/>
  </r>
  <r>
    <x v="0"/>
    <x v="1"/>
    <x v="0"/>
    <n v="933"/>
    <x v="1"/>
    <n v="9"/>
    <n v="4"/>
    <x v="0"/>
    <x v="0"/>
    <x v="148"/>
    <n v="3"/>
    <x v="1"/>
    <n v="94"/>
    <n v="3"/>
    <n v="1"/>
    <x v="2"/>
    <n v="1"/>
    <x v="1"/>
    <n v="2238"/>
    <n v="6961"/>
    <n v="2"/>
    <s v="Y"/>
    <x v="1"/>
    <n v="21"/>
    <n v="4"/>
    <n v="4"/>
    <n v="80"/>
    <n v="1"/>
    <n v="7"/>
    <n v="2"/>
    <n v="3"/>
    <n v="5"/>
    <n v="0"/>
    <n v="1"/>
    <n v="4"/>
  </r>
  <r>
    <x v="37"/>
    <x v="1"/>
    <x v="0"/>
    <n v="1181"/>
    <x v="1"/>
    <n v="3"/>
    <n v="1"/>
    <x v="2"/>
    <x v="0"/>
    <x v="149"/>
    <n v="2"/>
    <x v="0"/>
    <n v="79"/>
    <n v="3"/>
    <n v="1"/>
    <x v="2"/>
    <n v="2"/>
    <x v="0"/>
    <n v="1483"/>
    <n v="16102"/>
    <n v="1"/>
    <s v="Y"/>
    <x v="1"/>
    <n v="14"/>
    <n v="3"/>
    <n v="4"/>
    <n v="80"/>
    <n v="0"/>
    <n v="1"/>
    <n v="3"/>
    <n v="3"/>
    <n v="1"/>
    <n v="0"/>
    <n v="0"/>
    <n v="0"/>
  </r>
  <r>
    <x v="32"/>
    <x v="1"/>
    <x v="1"/>
    <n v="1395"/>
    <x v="1"/>
    <n v="26"/>
    <n v="3"/>
    <x v="2"/>
    <x v="0"/>
    <x v="150"/>
    <n v="2"/>
    <x v="0"/>
    <n v="54"/>
    <n v="3"/>
    <n v="2"/>
    <x v="1"/>
    <n v="2"/>
    <x v="2"/>
    <n v="5605"/>
    <n v="8504"/>
    <n v="1"/>
    <s v="Y"/>
    <x v="1"/>
    <n v="11"/>
    <n v="3"/>
    <n v="1"/>
    <n v="80"/>
    <n v="1"/>
    <n v="20"/>
    <n v="2"/>
    <n v="3"/>
    <n v="20"/>
    <n v="7"/>
    <n v="2"/>
    <n v="13"/>
  </r>
  <r>
    <x v="10"/>
    <x v="1"/>
    <x v="0"/>
    <n v="662"/>
    <x v="0"/>
    <n v="1"/>
    <n v="5"/>
    <x v="3"/>
    <x v="0"/>
    <x v="151"/>
    <n v="3"/>
    <x v="1"/>
    <n v="94"/>
    <n v="3"/>
    <n v="3"/>
    <x v="0"/>
    <n v="2"/>
    <x v="1"/>
    <n v="7295"/>
    <n v="11439"/>
    <n v="1"/>
    <s v="Y"/>
    <x v="1"/>
    <n v="13"/>
    <n v="3"/>
    <n v="1"/>
    <n v="80"/>
    <n v="2"/>
    <n v="10"/>
    <n v="3"/>
    <n v="3"/>
    <n v="10"/>
    <n v="8"/>
    <n v="0"/>
    <n v="6"/>
  </r>
  <r>
    <x v="16"/>
    <x v="1"/>
    <x v="0"/>
    <n v="1436"/>
    <x v="0"/>
    <n v="6"/>
    <n v="2"/>
    <x v="3"/>
    <x v="0"/>
    <x v="152"/>
    <n v="2"/>
    <x v="1"/>
    <n v="34"/>
    <n v="3"/>
    <n v="2"/>
    <x v="6"/>
    <n v="3"/>
    <x v="1"/>
    <n v="2306"/>
    <n v="16047"/>
    <n v="2"/>
    <s v="Y"/>
    <x v="0"/>
    <n v="20"/>
    <n v="4"/>
    <n v="4"/>
    <n v="80"/>
    <n v="1"/>
    <n v="13"/>
    <n v="3"/>
    <n v="1"/>
    <n v="7"/>
    <n v="7"/>
    <n v="4"/>
    <n v="5"/>
  </r>
  <r>
    <x v="28"/>
    <x v="1"/>
    <x v="0"/>
    <n v="194"/>
    <x v="1"/>
    <n v="9"/>
    <n v="3"/>
    <x v="0"/>
    <x v="0"/>
    <x v="153"/>
    <n v="2"/>
    <x v="1"/>
    <n v="60"/>
    <n v="3"/>
    <n v="2"/>
    <x v="2"/>
    <n v="2"/>
    <x v="2"/>
    <n v="2348"/>
    <n v="10901"/>
    <n v="8"/>
    <s v="Y"/>
    <x v="1"/>
    <n v="18"/>
    <n v="3"/>
    <n v="3"/>
    <n v="80"/>
    <n v="1"/>
    <n v="20"/>
    <n v="2"/>
    <n v="1"/>
    <n v="17"/>
    <n v="9"/>
    <n v="0"/>
    <n v="15"/>
  </r>
  <r>
    <x v="5"/>
    <x v="1"/>
    <x v="1"/>
    <n v="967"/>
    <x v="0"/>
    <n v="8"/>
    <n v="3"/>
    <x v="3"/>
    <x v="0"/>
    <x v="154"/>
    <n v="2"/>
    <x v="0"/>
    <n v="43"/>
    <n v="3"/>
    <n v="3"/>
    <x v="0"/>
    <n v="4"/>
    <x v="0"/>
    <n v="8998"/>
    <n v="15589"/>
    <n v="1"/>
    <s v="Y"/>
    <x v="1"/>
    <n v="14"/>
    <n v="3"/>
    <n v="4"/>
    <n v="80"/>
    <n v="0"/>
    <n v="9"/>
    <n v="2"/>
    <n v="3"/>
    <n v="9"/>
    <n v="8"/>
    <n v="3"/>
    <n v="7"/>
  </r>
  <r>
    <x v="11"/>
    <x v="1"/>
    <x v="2"/>
    <n v="1496"/>
    <x v="1"/>
    <n v="1"/>
    <n v="1"/>
    <x v="4"/>
    <x v="0"/>
    <x v="155"/>
    <n v="4"/>
    <x v="1"/>
    <n v="41"/>
    <n v="3"/>
    <n v="2"/>
    <x v="3"/>
    <n v="3"/>
    <x v="1"/>
    <n v="4319"/>
    <n v="26283"/>
    <n v="1"/>
    <s v="Y"/>
    <x v="1"/>
    <n v="13"/>
    <n v="3"/>
    <n v="1"/>
    <n v="80"/>
    <n v="1"/>
    <n v="10"/>
    <n v="1"/>
    <n v="3"/>
    <n v="10"/>
    <n v="7"/>
    <n v="0"/>
    <n v="9"/>
  </r>
  <r>
    <x v="31"/>
    <x v="1"/>
    <x v="0"/>
    <n v="1169"/>
    <x v="1"/>
    <n v="7"/>
    <n v="4"/>
    <x v="2"/>
    <x v="0"/>
    <x v="156"/>
    <n v="2"/>
    <x v="1"/>
    <n v="34"/>
    <n v="2"/>
    <n v="2"/>
    <x v="3"/>
    <n v="3"/>
    <x v="1"/>
    <n v="6132"/>
    <n v="13983"/>
    <n v="2"/>
    <s v="Y"/>
    <x v="1"/>
    <n v="17"/>
    <n v="3"/>
    <n v="3"/>
    <n v="80"/>
    <n v="0"/>
    <n v="10"/>
    <n v="2"/>
    <n v="3"/>
    <n v="1"/>
    <n v="0"/>
    <n v="0"/>
    <n v="0"/>
  </r>
  <r>
    <x v="34"/>
    <x v="1"/>
    <x v="0"/>
    <n v="1145"/>
    <x v="1"/>
    <n v="9"/>
    <n v="3"/>
    <x v="2"/>
    <x v="0"/>
    <x v="157"/>
    <n v="2"/>
    <x v="0"/>
    <n v="75"/>
    <n v="2"/>
    <n v="1"/>
    <x v="1"/>
    <n v="2"/>
    <x v="1"/>
    <n v="3346"/>
    <n v="11873"/>
    <n v="4"/>
    <s v="Y"/>
    <x v="0"/>
    <n v="20"/>
    <n v="4"/>
    <n v="2"/>
    <n v="80"/>
    <n v="1"/>
    <n v="9"/>
    <n v="3"/>
    <n v="2"/>
    <n v="1"/>
    <n v="0"/>
    <n v="0"/>
    <n v="0"/>
  </r>
  <r>
    <x v="32"/>
    <x v="1"/>
    <x v="0"/>
    <n v="630"/>
    <x v="0"/>
    <n v="4"/>
    <n v="4"/>
    <x v="3"/>
    <x v="0"/>
    <x v="158"/>
    <n v="3"/>
    <x v="1"/>
    <n v="67"/>
    <n v="2"/>
    <n v="3"/>
    <x v="0"/>
    <n v="4"/>
    <x v="1"/>
    <n v="10855"/>
    <n v="8552"/>
    <n v="7"/>
    <s v="Y"/>
    <x v="1"/>
    <n v="11"/>
    <n v="3"/>
    <n v="1"/>
    <n v="80"/>
    <n v="1"/>
    <n v="15"/>
    <n v="2"/>
    <n v="2"/>
    <n v="12"/>
    <n v="11"/>
    <n v="2"/>
    <n v="11"/>
  </r>
  <r>
    <x v="13"/>
    <x v="1"/>
    <x v="1"/>
    <n v="303"/>
    <x v="0"/>
    <n v="2"/>
    <n v="4"/>
    <x v="3"/>
    <x v="0"/>
    <x v="159"/>
    <n v="3"/>
    <x v="0"/>
    <n v="75"/>
    <n v="3"/>
    <n v="1"/>
    <x v="6"/>
    <n v="3"/>
    <x v="1"/>
    <n v="2231"/>
    <n v="11314"/>
    <n v="6"/>
    <s v="Y"/>
    <x v="1"/>
    <n v="18"/>
    <n v="3"/>
    <n v="4"/>
    <n v="80"/>
    <n v="1"/>
    <n v="6"/>
    <n v="3"/>
    <n v="3"/>
    <n v="4"/>
    <n v="3"/>
    <n v="1"/>
    <n v="2"/>
  </r>
  <r>
    <x v="15"/>
    <x v="1"/>
    <x v="0"/>
    <n v="1256"/>
    <x v="1"/>
    <n v="19"/>
    <n v="1"/>
    <x v="2"/>
    <x v="0"/>
    <x v="160"/>
    <n v="3"/>
    <x v="1"/>
    <n v="80"/>
    <n v="3"/>
    <n v="1"/>
    <x v="1"/>
    <n v="4"/>
    <x v="1"/>
    <n v="2323"/>
    <n v="11992"/>
    <n v="1"/>
    <s v="Y"/>
    <x v="1"/>
    <n v="24"/>
    <n v="4"/>
    <n v="1"/>
    <n v="80"/>
    <n v="2"/>
    <n v="2"/>
    <n v="6"/>
    <n v="3"/>
    <n v="2"/>
    <n v="2"/>
    <n v="2"/>
    <n v="2"/>
  </r>
  <r>
    <x v="4"/>
    <x v="1"/>
    <x v="2"/>
    <n v="691"/>
    <x v="1"/>
    <n v="9"/>
    <n v="3"/>
    <x v="2"/>
    <x v="0"/>
    <x v="161"/>
    <n v="4"/>
    <x v="1"/>
    <n v="57"/>
    <n v="3"/>
    <n v="1"/>
    <x v="1"/>
    <n v="2"/>
    <x v="2"/>
    <n v="2024"/>
    <n v="5970"/>
    <n v="6"/>
    <s v="Y"/>
    <x v="1"/>
    <n v="18"/>
    <n v="3"/>
    <n v="4"/>
    <n v="80"/>
    <n v="1"/>
    <n v="6"/>
    <n v="1"/>
    <n v="1"/>
    <n v="2"/>
    <n v="2"/>
    <n v="2"/>
    <n v="2"/>
  </r>
  <r>
    <x v="14"/>
    <x v="1"/>
    <x v="0"/>
    <n v="440"/>
    <x v="1"/>
    <n v="21"/>
    <n v="3"/>
    <x v="2"/>
    <x v="0"/>
    <x v="162"/>
    <n v="3"/>
    <x v="1"/>
    <n v="42"/>
    <n v="3"/>
    <n v="1"/>
    <x v="1"/>
    <n v="4"/>
    <x v="1"/>
    <n v="2713"/>
    <n v="6672"/>
    <n v="1"/>
    <s v="Y"/>
    <x v="1"/>
    <n v="11"/>
    <n v="3"/>
    <n v="3"/>
    <n v="80"/>
    <n v="1"/>
    <n v="5"/>
    <n v="2"/>
    <n v="1"/>
    <n v="5"/>
    <n v="2"/>
    <n v="0"/>
    <n v="2"/>
  </r>
  <r>
    <x v="38"/>
    <x v="1"/>
    <x v="0"/>
    <n v="334"/>
    <x v="1"/>
    <n v="24"/>
    <n v="2"/>
    <x v="0"/>
    <x v="0"/>
    <x v="163"/>
    <n v="3"/>
    <x v="1"/>
    <n v="83"/>
    <n v="4"/>
    <n v="3"/>
    <x v="4"/>
    <n v="4"/>
    <x v="2"/>
    <n v="9439"/>
    <n v="23402"/>
    <n v="3"/>
    <s v="Y"/>
    <x v="0"/>
    <n v="16"/>
    <n v="3"/>
    <n v="2"/>
    <n v="80"/>
    <n v="1"/>
    <n v="12"/>
    <n v="2"/>
    <n v="1"/>
    <n v="5"/>
    <n v="3"/>
    <n v="1"/>
    <n v="4"/>
  </r>
  <r>
    <x v="4"/>
    <x v="1"/>
    <x v="2"/>
    <n v="1450"/>
    <x v="1"/>
    <n v="3"/>
    <n v="3"/>
    <x v="2"/>
    <x v="0"/>
    <x v="164"/>
    <n v="3"/>
    <x v="1"/>
    <n v="79"/>
    <n v="2"/>
    <n v="1"/>
    <x v="1"/>
    <n v="3"/>
    <x v="2"/>
    <n v="2566"/>
    <n v="25326"/>
    <n v="1"/>
    <s v="Y"/>
    <x v="0"/>
    <n v="15"/>
    <n v="3"/>
    <n v="4"/>
    <n v="80"/>
    <n v="1"/>
    <n v="1"/>
    <n v="2"/>
    <n v="2"/>
    <n v="1"/>
    <n v="1"/>
    <n v="0"/>
    <n v="1"/>
  </r>
  <r>
    <x v="24"/>
    <x v="1"/>
    <x v="0"/>
    <n v="1452"/>
    <x v="1"/>
    <n v="11"/>
    <n v="3"/>
    <x v="0"/>
    <x v="0"/>
    <x v="165"/>
    <n v="3"/>
    <x v="0"/>
    <n v="53"/>
    <n v="3"/>
    <n v="5"/>
    <x v="5"/>
    <n v="2"/>
    <x v="0"/>
    <n v="19926"/>
    <n v="17053"/>
    <n v="3"/>
    <s v="Y"/>
    <x v="1"/>
    <n v="15"/>
    <n v="3"/>
    <n v="2"/>
    <n v="80"/>
    <n v="0"/>
    <n v="21"/>
    <n v="5"/>
    <n v="3"/>
    <n v="5"/>
    <n v="4"/>
    <n v="4"/>
    <n v="4"/>
  </r>
  <r>
    <x v="0"/>
    <x v="1"/>
    <x v="0"/>
    <n v="465"/>
    <x v="1"/>
    <n v="14"/>
    <n v="3"/>
    <x v="0"/>
    <x v="0"/>
    <x v="166"/>
    <n v="1"/>
    <x v="1"/>
    <n v="56"/>
    <n v="3"/>
    <n v="1"/>
    <x v="1"/>
    <n v="3"/>
    <x v="2"/>
    <n v="2451"/>
    <n v="4609"/>
    <n v="4"/>
    <s v="Y"/>
    <x v="1"/>
    <n v="12"/>
    <n v="3"/>
    <n v="1"/>
    <n v="80"/>
    <n v="1"/>
    <n v="13"/>
    <n v="2"/>
    <n v="3"/>
    <n v="9"/>
    <n v="8"/>
    <n v="1"/>
    <n v="8"/>
  </r>
  <r>
    <x v="7"/>
    <x v="1"/>
    <x v="0"/>
    <n v="1339"/>
    <x v="0"/>
    <n v="5"/>
    <n v="3"/>
    <x v="0"/>
    <x v="0"/>
    <x v="167"/>
    <n v="2"/>
    <x v="0"/>
    <n v="41"/>
    <n v="3"/>
    <n v="3"/>
    <x v="0"/>
    <n v="4"/>
    <x v="1"/>
    <n v="9419"/>
    <n v="8053"/>
    <n v="2"/>
    <s v="Y"/>
    <x v="1"/>
    <n v="12"/>
    <n v="3"/>
    <n v="3"/>
    <n v="80"/>
    <n v="1"/>
    <n v="12"/>
    <n v="2"/>
    <n v="3"/>
    <n v="10"/>
    <n v="9"/>
    <n v="7"/>
    <n v="4"/>
  </r>
  <r>
    <x v="8"/>
    <x v="1"/>
    <x v="0"/>
    <n v="702"/>
    <x v="0"/>
    <n v="1"/>
    <n v="4"/>
    <x v="0"/>
    <x v="0"/>
    <x v="168"/>
    <n v="1"/>
    <x v="0"/>
    <n v="59"/>
    <n v="2"/>
    <n v="2"/>
    <x v="0"/>
    <n v="4"/>
    <x v="0"/>
    <n v="8686"/>
    <n v="12930"/>
    <n v="4"/>
    <s v="Y"/>
    <x v="1"/>
    <n v="22"/>
    <n v="4"/>
    <n v="3"/>
    <n v="80"/>
    <n v="0"/>
    <n v="12"/>
    <n v="2"/>
    <n v="4"/>
    <n v="8"/>
    <n v="3"/>
    <n v="0"/>
    <n v="7"/>
  </r>
  <r>
    <x v="5"/>
    <x v="1"/>
    <x v="0"/>
    <n v="120"/>
    <x v="1"/>
    <n v="6"/>
    <n v="5"/>
    <x v="0"/>
    <x v="0"/>
    <x v="169"/>
    <n v="3"/>
    <x v="1"/>
    <n v="43"/>
    <n v="3"/>
    <n v="1"/>
    <x v="1"/>
    <n v="3"/>
    <x v="0"/>
    <n v="3038"/>
    <n v="12430"/>
    <n v="3"/>
    <s v="Y"/>
    <x v="1"/>
    <n v="20"/>
    <n v="4"/>
    <n v="1"/>
    <n v="80"/>
    <n v="0"/>
    <n v="8"/>
    <n v="2"/>
    <n v="3"/>
    <n v="5"/>
    <n v="4"/>
    <n v="1"/>
    <n v="4"/>
  </r>
  <r>
    <x v="4"/>
    <x v="1"/>
    <x v="0"/>
    <n v="1157"/>
    <x v="1"/>
    <n v="17"/>
    <n v="3"/>
    <x v="4"/>
    <x v="0"/>
    <x v="170"/>
    <n v="3"/>
    <x v="1"/>
    <n v="51"/>
    <n v="3"/>
    <n v="1"/>
    <x v="1"/>
    <n v="2"/>
    <x v="1"/>
    <n v="3058"/>
    <n v="13364"/>
    <n v="0"/>
    <s v="Y"/>
    <x v="0"/>
    <n v="16"/>
    <n v="3"/>
    <n v="4"/>
    <n v="80"/>
    <n v="1"/>
    <n v="6"/>
    <n v="3"/>
    <n v="2"/>
    <n v="5"/>
    <n v="2"/>
    <n v="1"/>
    <n v="1"/>
  </r>
  <r>
    <x v="37"/>
    <x v="0"/>
    <x v="1"/>
    <n v="602"/>
    <x v="0"/>
    <n v="1"/>
    <n v="1"/>
    <x v="4"/>
    <x v="0"/>
    <x v="171"/>
    <n v="3"/>
    <x v="0"/>
    <n v="100"/>
    <n v="1"/>
    <n v="1"/>
    <x v="6"/>
    <n v="1"/>
    <x v="0"/>
    <n v="2325"/>
    <n v="20989"/>
    <n v="0"/>
    <s v="Y"/>
    <x v="1"/>
    <n v="21"/>
    <n v="4"/>
    <n v="1"/>
    <n v="80"/>
    <n v="0"/>
    <n v="1"/>
    <n v="5"/>
    <n v="4"/>
    <n v="0"/>
    <n v="0"/>
    <n v="0"/>
    <n v="0"/>
  </r>
  <r>
    <x v="9"/>
    <x v="1"/>
    <x v="1"/>
    <n v="1480"/>
    <x v="1"/>
    <n v="3"/>
    <n v="2"/>
    <x v="2"/>
    <x v="0"/>
    <x v="172"/>
    <n v="4"/>
    <x v="1"/>
    <n v="30"/>
    <n v="3"/>
    <n v="1"/>
    <x v="2"/>
    <n v="2"/>
    <x v="0"/>
    <n v="2088"/>
    <n v="15062"/>
    <n v="4"/>
    <s v="Y"/>
    <x v="1"/>
    <n v="12"/>
    <n v="3"/>
    <n v="3"/>
    <n v="80"/>
    <n v="0"/>
    <n v="13"/>
    <n v="3"/>
    <n v="2"/>
    <n v="8"/>
    <n v="7"/>
    <n v="7"/>
    <n v="2"/>
  </r>
  <r>
    <x v="7"/>
    <x v="1"/>
    <x v="2"/>
    <n v="111"/>
    <x v="1"/>
    <n v="9"/>
    <n v="3"/>
    <x v="2"/>
    <x v="0"/>
    <x v="173"/>
    <n v="3"/>
    <x v="1"/>
    <n v="66"/>
    <n v="3"/>
    <n v="2"/>
    <x v="2"/>
    <n v="1"/>
    <x v="2"/>
    <n v="3072"/>
    <n v="11012"/>
    <n v="1"/>
    <s v="Y"/>
    <x v="1"/>
    <n v="11"/>
    <n v="3"/>
    <n v="3"/>
    <n v="80"/>
    <n v="2"/>
    <n v="12"/>
    <n v="4"/>
    <n v="3"/>
    <n v="12"/>
    <n v="9"/>
    <n v="6"/>
    <n v="10"/>
  </r>
  <r>
    <x v="28"/>
    <x v="1"/>
    <x v="0"/>
    <n v="1268"/>
    <x v="0"/>
    <n v="4"/>
    <n v="2"/>
    <x v="0"/>
    <x v="0"/>
    <x v="174"/>
    <n v="3"/>
    <x v="0"/>
    <n v="30"/>
    <n v="3"/>
    <n v="2"/>
    <x v="0"/>
    <n v="1"/>
    <x v="2"/>
    <n v="5006"/>
    <n v="6319"/>
    <n v="4"/>
    <s v="Y"/>
    <x v="0"/>
    <n v="11"/>
    <n v="3"/>
    <n v="1"/>
    <n v="80"/>
    <n v="1"/>
    <n v="9"/>
    <n v="3"/>
    <n v="4"/>
    <n v="5"/>
    <n v="4"/>
    <n v="0"/>
    <n v="3"/>
  </r>
  <r>
    <x v="29"/>
    <x v="1"/>
    <x v="0"/>
    <n v="713"/>
    <x v="1"/>
    <n v="8"/>
    <n v="3"/>
    <x v="0"/>
    <x v="0"/>
    <x v="175"/>
    <n v="3"/>
    <x v="0"/>
    <n v="67"/>
    <n v="3"/>
    <n v="1"/>
    <x v="1"/>
    <n v="1"/>
    <x v="2"/>
    <n v="4257"/>
    <n v="13939"/>
    <n v="4"/>
    <s v="Y"/>
    <x v="0"/>
    <n v="18"/>
    <n v="3"/>
    <n v="3"/>
    <n v="80"/>
    <n v="1"/>
    <n v="19"/>
    <n v="3"/>
    <n v="3"/>
    <n v="2"/>
    <n v="2"/>
    <n v="2"/>
    <n v="2"/>
  </r>
  <r>
    <x v="3"/>
    <x v="1"/>
    <x v="0"/>
    <n v="134"/>
    <x v="1"/>
    <n v="2"/>
    <n v="3"/>
    <x v="0"/>
    <x v="0"/>
    <x v="176"/>
    <n v="3"/>
    <x v="1"/>
    <n v="90"/>
    <n v="3"/>
    <n v="1"/>
    <x v="1"/>
    <n v="4"/>
    <x v="0"/>
    <n v="2500"/>
    <n v="10515"/>
    <n v="0"/>
    <s v="Y"/>
    <x v="1"/>
    <n v="14"/>
    <n v="3"/>
    <n v="1"/>
    <n v="80"/>
    <n v="0"/>
    <n v="4"/>
    <n v="2"/>
    <n v="4"/>
    <n v="3"/>
    <n v="1"/>
    <n v="0"/>
    <n v="2"/>
  </r>
  <r>
    <x v="37"/>
    <x v="0"/>
    <x v="0"/>
    <n v="303"/>
    <x v="1"/>
    <n v="2"/>
    <n v="3"/>
    <x v="0"/>
    <x v="0"/>
    <x v="177"/>
    <n v="2"/>
    <x v="1"/>
    <n v="47"/>
    <n v="2"/>
    <n v="1"/>
    <x v="2"/>
    <n v="4"/>
    <x v="0"/>
    <n v="1102"/>
    <n v="9241"/>
    <n v="1"/>
    <s v="Y"/>
    <x v="1"/>
    <n v="22"/>
    <n v="4"/>
    <n v="3"/>
    <n v="80"/>
    <n v="0"/>
    <n v="1"/>
    <n v="3"/>
    <n v="2"/>
    <n v="1"/>
    <n v="0"/>
    <n v="1"/>
    <n v="0"/>
  </r>
  <r>
    <x v="21"/>
    <x v="1"/>
    <x v="0"/>
    <n v="526"/>
    <x v="0"/>
    <n v="1"/>
    <n v="2"/>
    <x v="3"/>
    <x v="0"/>
    <x v="178"/>
    <n v="2"/>
    <x v="0"/>
    <n v="92"/>
    <n v="3"/>
    <n v="3"/>
    <x v="0"/>
    <n v="1"/>
    <x v="2"/>
    <n v="10453"/>
    <n v="2137"/>
    <n v="1"/>
    <s v="Y"/>
    <x v="1"/>
    <n v="25"/>
    <n v="4"/>
    <n v="3"/>
    <n v="80"/>
    <n v="3"/>
    <n v="24"/>
    <n v="2"/>
    <n v="3"/>
    <n v="24"/>
    <n v="13"/>
    <n v="15"/>
    <n v="7"/>
  </r>
  <r>
    <x v="8"/>
    <x v="1"/>
    <x v="0"/>
    <n v="1380"/>
    <x v="1"/>
    <n v="9"/>
    <n v="2"/>
    <x v="0"/>
    <x v="0"/>
    <x v="179"/>
    <n v="3"/>
    <x v="0"/>
    <n v="75"/>
    <n v="3"/>
    <n v="1"/>
    <x v="2"/>
    <n v="4"/>
    <x v="0"/>
    <n v="2288"/>
    <n v="6319"/>
    <n v="1"/>
    <s v="Y"/>
    <x v="1"/>
    <n v="12"/>
    <n v="3"/>
    <n v="3"/>
    <n v="80"/>
    <n v="0"/>
    <n v="2"/>
    <n v="3"/>
    <n v="3"/>
    <n v="2"/>
    <n v="2"/>
    <n v="2"/>
    <n v="1"/>
  </r>
  <r>
    <x v="12"/>
    <x v="1"/>
    <x v="0"/>
    <n v="140"/>
    <x v="1"/>
    <n v="12"/>
    <n v="1"/>
    <x v="2"/>
    <x v="0"/>
    <x v="180"/>
    <n v="3"/>
    <x v="0"/>
    <n v="95"/>
    <n v="3"/>
    <n v="1"/>
    <x v="1"/>
    <n v="4"/>
    <x v="1"/>
    <n v="3929"/>
    <n v="6984"/>
    <n v="8"/>
    <s v="Y"/>
    <x v="0"/>
    <n v="23"/>
    <n v="4"/>
    <n v="3"/>
    <n v="80"/>
    <n v="1"/>
    <n v="7"/>
    <n v="0"/>
    <n v="3"/>
    <n v="4"/>
    <n v="2"/>
    <n v="0"/>
    <n v="2"/>
  </r>
  <r>
    <x v="13"/>
    <x v="1"/>
    <x v="0"/>
    <n v="629"/>
    <x v="1"/>
    <n v="27"/>
    <n v="2"/>
    <x v="2"/>
    <x v="0"/>
    <x v="181"/>
    <n v="4"/>
    <x v="0"/>
    <n v="95"/>
    <n v="3"/>
    <n v="1"/>
    <x v="1"/>
    <n v="2"/>
    <x v="0"/>
    <n v="2311"/>
    <n v="5711"/>
    <n v="2"/>
    <s v="Y"/>
    <x v="1"/>
    <n v="15"/>
    <n v="3"/>
    <n v="4"/>
    <n v="80"/>
    <n v="0"/>
    <n v="9"/>
    <n v="3"/>
    <n v="3"/>
    <n v="3"/>
    <n v="2"/>
    <n v="1"/>
    <n v="2"/>
  </r>
  <r>
    <x v="0"/>
    <x v="0"/>
    <x v="0"/>
    <n v="1356"/>
    <x v="0"/>
    <n v="20"/>
    <n v="2"/>
    <x v="3"/>
    <x v="0"/>
    <x v="182"/>
    <n v="2"/>
    <x v="0"/>
    <n v="70"/>
    <n v="3"/>
    <n v="1"/>
    <x v="6"/>
    <n v="2"/>
    <x v="0"/>
    <n v="3140"/>
    <n v="21728"/>
    <n v="1"/>
    <s v="Y"/>
    <x v="0"/>
    <n v="22"/>
    <n v="4"/>
    <n v="4"/>
    <n v="80"/>
    <n v="0"/>
    <n v="4"/>
    <n v="5"/>
    <n v="2"/>
    <n v="4"/>
    <n v="3"/>
    <n v="0"/>
    <n v="2"/>
  </r>
  <r>
    <x v="24"/>
    <x v="1"/>
    <x v="0"/>
    <n v="328"/>
    <x v="1"/>
    <n v="1"/>
    <n v="3"/>
    <x v="2"/>
    <x v="0"/>
    <x v="183"/>
    <n v="3"/>
    <x v="1"/>
    <n v="86"/>
    <n v="2"/>
    <n v="1"/>
    <x v="2"/>
    <n v="3"/>
    <x v="1"/>
    <n v="3690"/>
    <n v="3425"/>
    <n v="2"/>
    <s v="Y"/>
    <x v="1"/>
    <n v="15"/>
    <n v="3"/>
    <n v="4"/>
    <n v="80"/>
    <n v="1"/>
    <n v="5"/>
    <n v="2"/>
    <n v="2"/>
    <n v="3"/>
    <n v="2"/>
    <n v="0"/>
    <n v="2"/>
  </r>
  <r>
    <x v="16"/>
    <x v="1"/>
    <x v="0"/>
    <n v="1084"/>
    <x v="1"/>
    <n v="13"/>
    <n v="2"/>
    <x v="2"/>
    <x v="0"/>
    <x v="184"/>
    <n v="4"/>
    <x v="0"/>
    <n v="57"/>
    <n v="4"/>
    <n v="2"/>
    <x v="3"/>
    <n v="1"/>
    <x v="2"/>
    <n v="4450"/>
    <n v="26250"/>
    <n v="1"/>
    <s v="Y"/>
    <x v="1"/>
    <n v="11"/>
    <n v="3"/>
    <n v="3"/>
    <n v="80"/>
    <n v="2"/>
    <n v="5"/>
    <n v="3"/>
    <n v="3"/>
    <n v="4"/>
    <n v="2"/>
    <n v="1"/>
    <n v="3"/>
  </r>
  <r>
    <x v="3"/>
    <x v="1"/>
    <x v="0"/>
    <n v="931"/>
    <x v="1"/>
    <n v="14"/>
    <n v="3"/>
    <x v="2"/>
    <x v="0"/>
    <x v="185"/>
    <n v="4"/>
    <x v="0"/>
    <n v="72"/>
    <n v="3"/>
    <n v="1"/>
    <x v="1"/>
    <n v="2"/>
    <x v="1"/>
    <n v="2756"/>
    <n v="4673"/>
    <n v="1"/>
    <s v="Y"/>
    <x v="1"/>
    <n v="13"/>
    <n v="3"/>
    <n v="4"/>
    <n v="80"/>
    <n v="1"/>
    <n v="8"/>
    <n v="5"/>
    <n v="3"/>
    <n v="8"/>
    <n v="7"/>
    <n v="1"/>
    <n v="6"/>
  </r>
  <r>
    <x v="32"/>
    <x v="1"/>
    <x v="0"/>
    <n v="989"/>
    <x v="1"/>
    <n v="4"/>
    <n v="1"/>
    <x v="2"/>
    <x v="0"/>
    <x v="186"/>
    <n v="4"/>
    <x v="0"/>
    <n v="46"/>
    <n v="3"/>
    <n v="5"/>
    <x v="5"/>
    <n v="3"/>
    <x v="1"/>
    <n v="19033"/>
    <n v="6499"/>
    <n v="1"/>
    <s v="Y"/>
    <x v="1"/>
    <n v="14"/>
    <n v="3"/>
    <n v="2"/>
    <n v="80"/>
    <n v="1"/>
    <n v="21"/>
    <n v="2"/>
    <n v="3"/>
    <n v="20"/>
    <n v="8"/>
    <n v="9"/>
    <n v="9"/>
  </r>
  <r>
    <x v="27"/>
    <x v="1"/>
    <x v="0"/>
    <n v="692"/>
    <x v="1"/>
    <n v="14"/>
    <n v="4"/>
    <x v="2"/>
    <x v="0"/>
    <x v="187"/>
    <n v="3"/>
    <x v="1"/>
    <n v="61"/>
    <n v="4"/>
    <n v="5"/>
    <x v="7"/>
    <n v="2"/>
    <x v="0"/>
    <n v="18722"/>
    <n v="13339"/>
    <n v="8"/>
    <s v="Y"/>
    <x v="1"/>
    <n v="11"/>
    <n v="3"/>
    <n v="4"/>
    <n v="80"/>
    <n v="0"/>
    <n v="36"/>
    <n v="3"/>
    <n v="3"/>
    <n v="24"/>
    <n v="15"/>
    <n v="2"/>
    <n v="15"/>
  </r>
  <r>
    <x v="13"/>
    <x v="1"/>
    <x v="1"/>
    <n v="1069"/>
    <x v="1"/>
    <n v="2"/>
    <n v="1"/>
    <x v="0"/>
    <x v="0"/>
    <x v="188"/>
    <n v="4"/>
    <x v="1"/>
    <n v="45"/>
    <n v="2"/>
    <n v="2"/>
    <x v="3"/>
    <n v="3"/>
    <x v="1"/>
    <n v="9547"/>
    <n v="14074"/>
    <n v="1"/>
    <s v="Y"/>
    <x v="1"/>
    <n v="17"/>
    <n v="3"/>
    <n v="3"/>
    <n v="80"/>
    <n v="0"/>
    <n v="10"/>
    <n v="2"/>
    <n v="2"/>
    <n v="10"/>
    <n v="9"/>
    <n v="1"/>
    <n v="9"/>
  </r>
  <r>
    <x v="31"/>
    <x v="1"/>
    <x v="0"/>
    <n v="313"/>
    <x v="1"/>
    <n v="3"/>
    <n v="3"/>
    <x v="2"/>
    <x v="0"/>
    <x v="189"/>
    <n v="4"/>
    <x v="0"/>
    <n v="98"/>
    <n v="3"/>
    <n v="4"/>
    <x v="4"/>
    <n v="2"/>
    <x v="0"/>
    <n v="13734"/>
    <n v="7192"/>
    <n v="3"/>
    <s v="Y"/>
    <x v="1"/>
    <n v="18"/>
    <n v="3"/>
    <n v="3"/>
    <n v="80"/>
    <n v="0"/>
    <n v="21"/>
    <n v="6"/>
    <n v="3"/>
    <n v="7"/>
    <n v="7"/>
    <n v="1"/>
    <n v="0"/>
  </r>
  <r>
    <x v="39"/>
    <x v="1"/>
    <x v="0"/>
    <n v="699"/>
    <x v="1"/>
    <n v="1"/>
    <n v="4"/>
    <x v="0"/>
    <x v="0"/>
    <x v="190"/>
    <n v="3"/>
    <x v="1"/>
    <n v="65"/>
    <n v="2"/>
    <n v="5"/>
    <x v="5"/>
    <n v="3"/>
    <x v="1"/>
    <n v="19999"/>
    <n v="5678"/>
    <n v="0"/>
    <s v="Y"/>
    <x v="1"/>
    <n v="14"/>
    <n v="3"/>
    <n v="1"/>
    <n v="80"/>
    <n v="1"/>
    <n v="34"/>
    <n v="5"/>
    <n v="3"/>
    <n v="33"/>
    <n v="18"/>
    <n v="11"/>
    <n v="9"/>
  </r>
  <r>
    <x v="4"/>
    <x v="1"/>
    <x v="0"/>
    <n v="894"/>
    <x v="1"/>
    <n v="9"/>
    <n v="3"/>
    <x v="2"/>
    <x v="0"/>
    <x v="191"/>
    <n v="4"/>
    <x v="0"/>
    <n v="99"/>
    <n v="3"/>
    <n v="1"/>
    <x v="1"/>
    <n v="2"/>
    <x v="0"/>
    <n v="2279"/>
    <n v="11781"/>
    <n v="1"/>
    <s v="Y"/>
    <x v="1"/>
    <n v="16"/>
    <n v="3"/>
    <n v="4"/>
    <n v="80"/>
    <n v="0"/>
    <n v="7"/>
    <n v="2"/>
    <n v="2"/>
    <n v="7"/>
    <n v="7"/>
    <n v="0"/>
    <n v="3"/>
  </r>
  <r>
    <x v="10"/>
    <x v="0"/>
    <x v="0"/>
    <n v="556"/>
    <x v="1"/>
    <n v="23"/>
    <n v="2"/>
    <x v="0"/>
    <x v="0"/>
    <x v="192"/>
    <n v="2"/>
    <x v="1"/>
    <n v="50"/>
    <n v="2"/>
    <n v="2"/>
    <x v="3"/>
    <n v="3"/>
    <x v="1"/>
    <n v="5916"/>
    <n v="15497"/>
    <n v="3"/>
    <s v="Y"/>
    <x v="0"/>
    <n v="13"/>
    <n v="3"/>
    <n v="1"/>
    <n v="80"/>
    <n v="0"/>
    <n v="8"/>
    <n v="1"/>
    <n v="3"/>
    <n v="1"/>
    <n v="0"/>
    <n v="0"/>
    <n v="1"/>
  </r>
  <r>
    <x v="23"/>
    <x v="1"/>
    <x v="2"/>
    <n v="1344"/>
    <x v="1"/>
    <n v="7"/>
    <n v="3"/>
    <x v="2"/>
    <x v="0"/>
    <x v="193"/>
    <n v="4"/>
    <x v="1"/>
    <n v="37"/>
    <n v="4"/>
    <n v="1"/>
    <x v="1"/>
    <n v="4"/>
    <x v="2"/>
    <n v="2089"/>
    <n v="5228"/>
    <n v="4"/>
    <s v="Y"/>
    <x v="1"/>
    <n v="14"/>
    <n v="3"/>
    <n v="4"/>
    <n v="80"/>
    <n v="3"/>
    <n v="7"/>
    <n v="3"/>
    <n v="4"/>
    <n v="5"/>
    <n v="4"/>
    <n v="2"/>
    <n v="2"/>
  </r>
  <r>
    <x v="28"/>
    <x v="1"/>
    <x v="2"/>
    <n v="1195"/>
    <x v="1"/>
    <n v="2"/>
    <n v="2"/>
    <x v="2"/>
    <x v="0"/>
    <x v="194"/>
    <n v="1"/>
    <x v="1"/>
    <n v="65"/>
    <n v="2"/>
    <n v="4"/>
    <x v="5"/>
    <n v="4"/>
    <x v="1"/>
    <n v="16792"/>
    <n v="20462"/>
    <n v="9"/>
    <s v="Y"/>
    <x v="1"/>
    <n v="23"/>
    <n v="4"/>
    <n v="4"/>
    <n v="80"/>
    <n v="1"/>
    <n v="22"/>
    <n v="1"/>
    <n v="3"/>
    <n v="20"/>
    <n v="8"/>
    <n v="11"/>
    <n v="8"/>
  </r>
  <r>
    <x v="2"/>
    <x v="1"/>
    <x v="0"/>
    <n v="290"/>
    <x v="1"/>
    <n v="21"/>
    <n v="3"/>
    <x v="0"/>
    <x v="0"/>
    <x v="195"/>
    <n v="2"/>
    <x v="1"/>
    <n v="65"/>
    <n v="4"/>
    <n v="1"/>
    <x v="1"/>
    <n v="1"/>
    <x v="1"/>
    <n v="3564"/>
    <n v="22977"/>
    <n v="1"/>
    <s v="Y"/>
    <x v="0"/>
    <n v="12"/>
    <n v="3"/>
    <n v="1"/>
    <n v="80"/>
    <n v="1"/>
    <n v="8"/>
    <n v="3"/>
    <n v="2"/>
    <n v="8"/>
    <n v="7"/>
    <n v="1"/>
    <n v="7"/>
  </r>
  <r>
    <x v="10"/>
    <x v="1"/>
    <x v="1"/>
    <n v="138"/>
    <x v="1"/>
    <n v="2"/>
    <n v="3"/>
    <x v="2"/>
    <x v="0"/>
    <x v="196"/>
    <n v="2"/>
    <x v="0"/>
    <n v="37"/>
    <n v="3"/>
    <n v="2"/>
    <x v="2"/>
    <n v="2"/>
    <x v="0"/>
    <n v="4425"/>
    <n v="15986"/>
    <n v="5"/>
    <s v="Y"/>
    <x v="1"/>
    <n v="11"/>
    <n v="3"/>
    <n v="4"/>
    <n v="80"/>
    <n v="0"/>
    <n v="10"/>
    <n v="5"/>
    <n v="3"/>
    <n v="6"/>
    <n v="2"/>
    <n v="1"/>
    <n v="2"/>
  </r>
  <r>
    <x v="19"/>
    <x v="1"/>
    <x v="2"/>
    <n v="926"/>
    <x v="1"/>
    <n v="21"/>
    <n v="2"/>
    <x v="2"/>
    <x v="0"/>
    <x v="197"/>
    <n v="3"/>
    <x v="0"/>
    <n v="36"/>
    <n v="3"/>
    <n v="2"/>
    <x v="3"/>
    <n v="3"/>
    <x v="2"/>
    <n v="5265"/>
    <n v="16439"/>
    <n v="2"/>
    <s v="Y"/>
    <x v="1"/>
    <n v="16"/>
    <n v="3"/>
    <n v="2"/>
    <n v="80"/>
    <n v="1"/>
    <n v="11"/>
    <n v="5"/>
    <n v="3"/>
    <n v="5"/>
    <n v="3"/>
    <n v="0"/>
    <n v="2"/>
  </r>
  <r>
    <x v="8"/>
    <x v="1"/>
    <x v="0"/>
    <n v="1261"/>
    <x v="1"/>
    <n v="2"/>
    <n v="4"/>
    <x v="0"/>
    <x v="0"/>
    <x v="198"/>
    <n v="4"/>
    <x v="1"/>
    <n v="88"/>
    <n v="3"/>
    <n v="2"/>
    <x v="3"/>
    <n v="3"/>
    <x v="1"/>
    <n v="6553"/>
    <n v="7259"/>
    <n v="9"/>
    <s v="Y"/>
    <x v="1"/>
    <n v="14"/>
    <n v="3"/>
    <n v="2"/>
    <n v="80"/>
    <n v="0"/>
    <n v="14"/>
    <n v="3"/>
    <n v="3"/>
    <n v="1"/>
    <n v="0"/>
    <n v="0"/>
    <n v="0"/>
  </r>
  <r>
    <x v="8"/>
    <x v="1"/>
    <x v="0"/>
    <n v="1084"/>
    <x v="1"/>
    <n v="29"/>
    <n v="3"/>
    <x v="4"/>
    <x v="0"/>
    <x v="199"/>
    <n v="4"/>
    <x v="1"/>
    <n v="54"/>
    <n v="3"/>
    <n v="2"/>
    <x v="3"/>
    <n v="4"/>
    <x v="1"/>
    <n v="6261"/>
    <n v="4185"/>
    <n v="3"/>
    <s v="Y"/>
    <x v="1"/>
    <n v="18"/>
    <n v="3"/>
    <n v="1"/>
    <n v="80"/>
    <n v="1"/>
    <n v="9"/>
    <n v="3"/>
    <n v="1"/>
    <n v="7"/>
    <n v="7"/>
    <n v="1"/>
    <n v="7"/>
  </r>
  <r>
    <x v="4"/>
    <x v="1"/>
    <x v="1"/>
    <n v="472"/>
    <x v="1"/>
    <n v="1"/>
    <n v="1"/>
    <x v="4"/>
    <x v="0"/>
    <x v="200"/>
    <n v="3"/>
    <x v="1"/>
    <n v="60"/>
    <n v="2"/>
    <n v="2"/>
    <x v="3"/>
    <n v="1"/>
    <x v="1"/>
    <n v="4298"/>
    <n v="9679"/>
    <n v="5"/>
    <s v="Y"/>
    <x v="1"/>
    <n v="19"/>
    <n v="3"/>
    <n v="3"/>
    <n v="80"/>
    <n v="1"/>
    <n v="6"/>
    <n v="1"/>
    <n v="3"/>
    <n v="2"/>
    <n v="2"/>
    <n v="2"/>
    <n v="0"/>
  </r>
  <r>
    <x v="1"/>
    <x v="1"/>
    <x v="2"/>
    <n v="1002"/>
    <x v="1"/>
    <n v="18"/>
    <n v="4"/>
    <x v="0"/>
    <x v="0"/>
    <x v="201"/>
    <n v="4"/>
    <x v="1"/>
    <n v="92"/>
    <n v="3"/>
    <n v="2"/>
    <x v="3"/>
    <n v="4"/>
    <x v="2"/>
    <n v="6804"/>
    <n v="23793"/>
    <n v="1"/>
    <s v="Y"/>
    <x v="0"/>
    <n v="15"/>
    <n v="3"/>
    <n v="1"/>
    <n v="80"/>
    <n v="2"/>
    <n v="7"/>
    <n v="0"/>
    <n v="3"/>
    <n v="7"/>
    <n v="7"/>
    <n v="1"/>
    <n v="7"/>
  </r>
  <r>
    <x v="13"/>
    <x v="1"/>
    <x v="1"/>
    <n v="878"/>
    <x v="1"/>
    <n v="10"/>
    <n v="4"/>
    <x v="2"/>
    <x v="0"/>
    <x v="202"/>
    <n v="4"/>
    <x v="1"/>
    <n v="43"/>
    <n v="3"/>
    <n v="1"/>
    <x v="1"/>
    <n v="3"/>
    <x v="2"/>
    <n v="3815"/>
    <n v="5972"/>
    <n v="1"/>
    <s v="Y"/>
    <x v="0"/>
    <n v="17"/>
    <n v="3"/>
    <n v="4"/>
    <n v="80"/>
    <n v="1"/>
    <n v="5"/>
    <n v="4"/>
    <n v="4"/>
    <n v="5"/>
    <n v="3"/>
    <n v="2"/>
    <n v="0"/>
  </r>
  <r>
    <x v="32"/>
    <x v="1"/>
    <x v="0"/>
    <n v="905"/>
    <x v="1"/>
    <n v="19"/>
    <n v="2"/>
    <x v="2"/>
    <x v="0"/>
    <x v="203"/>
    <n v="3"/>
    <x v="1"/>
    <n v="99"/>
    <n v="3"/>
    <n v="2"/>
    <x v="2"/>
    <n v="4"/>
    <x v="1"/>
    <n v="2741"/>
    <n v="16523"/>
    <n v="8"/>
    <s v="Y"/>
    <x v="0"/>
    <n v="15"/>
    <n v="3"/>
    <n v="3"/>
    <n v="80"/>
    <n v="1"/>
    <n v="15"/>
    <n v="2"/>
    <n v="4"/>
    <n v="7"/>
    <n v="2"/>
    <n v="3"/>
    <n v="7"/>
  </r>
  <r>
    <x v="8"/>
    <x v="0"/>
    <x v="0"/>
    <n v="1180"/>
    <x v="1"/>
    <n v="29"/>
    <n v="1"/>
    <x v="2"/>
    <x v="0"/>
    <x v="204"/>
    <n v="2"/>
    <x v="1"/>
    <n v="70"/>
    <n v="3"/>
    <n v="2"/>
    <x v="4"/>
    <n v="1"/>
    <x v="1"/>
    <n v="6673"/>
    <n v="11354"/>
    <n v="7"/>
    <s v="Y"/>
    <x v="0"/>
    <n v="19"/>
    <n v="3"/>
    <n v="2"/>
    <n v="80"/>
    <n v="0"/>
    <n v="17"/>
    <n v="2"/>
    <n v="3"/>
    <n v="1"/>
    <n v="0"/>
    <n v="0"/>
    <n v="0"/>
  </r>
  <r>
    <x v="11"/>
    <x v="0"/>
    <x v="0"/>
    <n v="121"/>
    <x v="0"/>
    <n v="27"/>
    <n v="3"/>
    <x v="3"/>
    <x v="0"/>
    <x v="205"/>
    <n v="2"/>
    <x v="0"/>
    <n v="35"/>
    <n v="3"/>
    <n v="3"/>
    <x v="0"/>
    <n v="4"/>
    <x v="1"/>
    <n v="7639"/>
    <n v="24525"/>
    <n v="1"/>
    <s v="Y"/>
    <x v="1"/>
    <n v="22"/>
    <n v="4"/>
    <n v="4"/>
    <n v="80"/>
    <n v="3"/>
    <n v="10"/>
    <n v="3"/>
    <n v="2"/>
    <n v="10"/>
    <n v="4"/>
    <n v="1"/>
    <n v="9"/>
  </r>
  <r>
    <x v="15"/>
    <x v="1"/>
    <x v="0"/>
    <n v="1136"/>
    <x v="1"/>
    <n v="5"/>
    <n v="3"/>
    <x v="0"/>
    <x v="0"/>
    <x v="206"/>
    <n v="4"/>
    <x v="1"/>
    <n v="60"/>
    <n v="4"/>
    <n v="1"/>
    <x v="1"/>
    <n v="2"/>
    <x v="2"/>
    <n v="2328"/>
    <n v="12392"/>
    <n v="1"/>
    <s v="Y"/>
    <x v="0"/>
    <n v="16"/>
    <n v="3"/>
    <n v="1"/>
    <n v="80"/>
    <n v="1"/>
    <n v="4"/>
    <n v="2"/>
    <n v="2"/>
    <n v="4"/>
    <n v="2"/>
    <n v="2"/>
    <n v="2"/>
  </r>
  <r>
    <x v="9"/>
    <x v="1"/>
    <x v="1"/>
    <n v="635"/>
    <x v="1"/>
    <n v="18"/>
    <n v="1"/>
    <x v="2"/>
    <x v="0"/>
    <x v="207"/>
    <n v="2"/>
    <x v="0"/>
    <n v="73"/>
    <n v="3"/>
    <n v="1"/>
    <x v="2"/>
    <n v="4"/>
    <x v="0"/>
    <n v="2153"/>
    <n v="7703"/>
    <n v="1"/>
    <s v="Y"/>
    <x v="1"/>
    <n v="13"/>
    <n v="3"/>
    <n v="1"/>
    <n v="80"/>
    <n v="0"/>
    <n v="8"/>
    <n v="2"/>
    <n v="3"/>
    <n v="8"/>
    <n v="1"/>
    <n v="1"/>
    <n v="7"/>
  </r>
  <r>
    <x v="32"/>
    <x v="1"/>
    <x v="2"/>
    <n v="1151"/>
    <x v="1"/>
    <n v="9"/>
    <n v="5"/>
    <x v="0"/>
    <x v="0"/>
    <x v="208"/>
    <n v="4"/>
    <x v="1"/>
    <n v="63"/>
    <n v="2"/>
    <n v="2"/>
    <x v="4"/>
    <n v="4"/>
    <x v="1"/>
    <n v="4876"/>
    <n v="14242"/>
    <n v="9"/>
    <s v="Y"/>
    <x v="1"/>
    <n v="14"/>
    <n v="3"/>
    <n v="4"/>
    <n v="80"/>
    <n v="1"/>
    <n v="5"/>
    <n v="5"/>
    <n v="1"/>
    <n v="3"/>
    <n v="2"/>
    <n v="0"/>
    <n v="2"/>
  </r>
  <r>
    <x v="21"/>
    <x v="1"/>
    <x v="0"/>
    <n v="644"/>
    <x v="1"/>
    <n v="1"/>
    <n v="4"/>
    <x v="2"/>
    <x v="0"/>
    <x v="209"/>
    <n v="4"/>
    <x v="1"/>
    <n v="97"/>
    <n v="3"/>
    <n v="3"/>
    <x v="4"/>
    <n v="1"/>
    <x v="2"/>
    <n v="9396"/>
    <n v="12368"/>
    <n v="7"/>
    <s v="Y"/>
    <x v="1"/>
    <n v="16"/>
    <n v="3"/>
    <n v="3"/>
    <n v="80"/>
    <n v="1"/>
    <n v="17"/>
    <n v="3"/>
    <n v="3"/>
    <n v="4"/>
    <n v="2"/>
    <n v="0"/>
    <n v="3"/>
  </r>
  <r>
    <x v="5"/>
    <x v="0"/>
    <x v="0"/>
    <n v="1045"/>
    <x v="0"/>
    <n v="4"/>
    <n v="4"/>
    <x v="2"/>
    <x v="0"/>
    <x v="210"/>
    <n v="4"/>
    <x v="1"/>
    <n v="32"/>
    <n v="1"/>
    <n v="3"/>
    <x v="0"/>
    <n v="4"/>
    <x v="1"/>
    <n v="10400"/>
    <n v="25812"/>
    <n v="1"/>
    <s v="Y"/>
    <x v="1"/>
    <n v="11"/>
    <n v="3"/>
    <n v="3"/>
    <n v="80"/>
    <n v="0"/>
    <n v="14"/>
    <n v="2"/>
    <n v="2"/>
    <n v="14"/>
    <n v="8"/>
    <n v="9"/>
    <n v="8"/>
  </r>
  <r>
    <x v="7"/>
    <x v="1"/>
    <x v="2"/>
    <n v="829"/>
    <x v="1"/>
    <n v="1"/>
    <n v="1"/>
    <x v="0"/>
    <x v="0"/>
    <x v="211"/>
    <n v="3"/>
    <x v="1"/>
    <n v="88"/>
    <n v="2"/>
    <n v="3"/>
    <x v="3"/>
    <n v="3"/>
    <x v="0"/>
    <n v="8474"/>
    <n v="20925"/>
    <n v="1"/>
    <s v="Y"/>
    <x v="1"/>
    <n v="22"/>
    <n v="4"/>
    <n v="3"/>
    <n v="80"/>
    <n v="0"/>
    <n v="12"/>
    <n v="2"/>
    <n v="3"/>
    <n v="11"/>
    <n v="8"/>
    <n v="5"/>
    <n v="8"/>
  </r>
  <r>
    <x v="4"/>
    <x v="1"/>
    <x v="1"/>
    <n v="1242"/>
    <x v="0"/>
    <n v="20"/>
    <n v="3"/>
    <x v="0"/>
    <x v="0"/>
    <x v="212"/>
    <n v="4"/>
    <x v="0"/>
    <n v="90"/>
    <n v="3"/>
    <n v="2"/>
    <x v="0"/>
    <n v="3"/>
    <x v="0"/>
    <n v="9981"/>
    <n v="12916"/>
    <n v="1"/>
    <s v="Y"/>
    <x v="1"/>
    <n v="14"/>
    <n v="3"/>
    <n v="4"/>
    <n v="80"/>
    <n v="0"/>
    <n v="7"/>
    <n v="2"/>
    <n v="3"/>
    <n v="7"/>
    <n v="7"/>
    <n v="0"/>
    <n v="7"/>
  </r>
  <r>
    <x v="31"/>
    <x v="1"/>
    <x v="0"/>
    <n v="1469"/>
    <x v="1"/>
    <n v="8"/>
    <n v="4"/>
    <x v="0"/>
    <x v="0"/>
    <x v="213"/>
    <n v="2"/>
    <x v="1"/>
    <n v="81"/>
    <n v="2"/>
    <n v="3"/>
    <x v="7"/>
    <n v="2"/>
    <x v="1"/>
    <n v="12490"/>
    <n v="15736"/>
    <n v="5"/>
    <s v="Y"/>
    <x v="1"/>
    <n v="16"/>
    <n v="3"/>
    <n v="4"/>
    <n v="80"/>
    <n v="2"/>
    <n v="16"/>
    <n v="5"/>
    <n v="1"/>
    <n v="10"/>
    <n v="9"/>
    <n v="4"/>
    <n v="7"/>
  </r>
  <r>
    <x v="7"/>
    <x v="0"/>
    <x v="0"/>
    <n v="1005"/>
    <x v="1"/>
    <n v="3"/>
    <n v="3"/>
    <x v="4"/>
    <x v="0"/>
    <x v="214"/>
    <n v="4"/>
    <x v="0"/>
    <n v="88"/>
    <n v="3"/>
    <n v="1"/>
    <x v="1"/>
    <n v="1"/>
    <x v="0"/>
    <n v="2657"/>
    <n v="8556"/>
    <n v="5"/>
    <s v="Y"/>
    <x v="0"/>
    <n v="11"/>
    <n v="3"/>
    <n v="3"/>
    <n v="80"/>
    <n v="0"/>
    <n v="8"/>
    <n v="5"/>
    <n v="3"/>
    <n v="5"/>
    <n v="2"/>
    <n v="0"/>
    <n v="4"/>
  </r>
  <r>
    <x v="0"/>
    <x v="1"/>
    <x v="0"/>
    <n v="896"/>
    <x v="0"/>
    <n v="6"/>
    <n v="3"/>
    <x v="0"/>
    <x v="0"/>
    <x v="215"/>
    <n v="4"/>
    <x v="0"/>
    <n v="75"/>
    <n v="3"/>
    <n v="3"/>
    <x v="5"/>
    <n v="4"/>
    <x v="0"/>
    <n v="13591"/>
    <n v="14674"/>
    <n v="3"/>
    <s v="Y"/>
    <x v="0"/>
    <n v="18"/>
    <n v="3"/>
    <n v="3"/>
    <n v="80"/>
    <n v="0"/>
    <n v="16"/>
    <n v="3"/>
    <n v="3"/>
    <n v="1"/>
    <n v="0"/>
    <n v="0"/>
    <n v="0"/>
  </r>
  <r>
    <x v="7"/>
    <x v="0"/>
    <x v="1"/>
    <n v="334"/>
    <x v="0"/>
    <n v="26"/>
    <n v="4"/>
    <x v="3"/>
    <x v="0"/>
    <x v="216"/>
    <n v="3"/>
    <x v="0"/>
    <n v="52"/>
    <n v="2"/>
    <n v="2"/>
    <x v="0"/>
    <n v="1"/>
    <x v="0"/>
    <n v="6696"/>
    <n v="22967"/>
    <n v="5"/>
    <s v="Y"/>
    <x v="1"/>
    <n v="15"/>
    <n v="3"/>
    <n v="3"/>
    <n v="80"/>
    <n v="0"/>
    <n v="9"/>
    <n v="5"/>
    <n v="2"/>
    <n v="6"/>
    <n v="3"/>
    <n v="0"/>
    <n v="1"/>
  </r>
  <r>
    <x v="11"/>
    <x v="0"/>
    <x v="0"/>
    <n v="992"/>
    <x v="1"/>
    <n v="1"/>
    <n v="3"/>
    <x v="4"/>
    <x v="0"/>
    <x v="217"/>
    <n v="3"/>
    <x v="1"/>
    <n v="85"/>
    <n v="3"/>
    <n v="1"/>
    <x v="1"/>
    <n v="3"/>
    <x v="0"/>
    <n v="2058"/>
    <n v="19757"/>
    <n v="0"/>
    <s v="Y"/>
    <x v="1"/>
    <n v="14"/>
    <n v="3"/>
    <n v="4"/>
    <n v="80"/>
    <n v="0"/>
    <n v="7"/>
    <n v="1"/>
    <n v="2"/>
    <n v="6"/>
    <n v="2"/>
    <n v="1"/>
    <n v="5"/>
  </r>
  <r>
    <x v="28"/>
    <x v="1"/>
    <x v="2"/>
    <n v="1052"/>
    <x v="0"/>
    <n v="6"/>
    <n v="3"/>
    <x v="2"/>
    <x v="0"/>
    <x v="218"/>
    <n v="4"/>
    <x v="0"/>
    <n v="57"/>
    <n v="2"/>
    <n v="3"/>
    <x v="0"/>
    <n v="4"/>
    <x v="0"/>
    <n v="8865"/>
    <n v="16840"/>
    <n v="6"/>
    <s v="Y"/>
    <x v="1"/>
    <n v="12"/>
    <n v="3"/>
    <n v="4"/>
    <n v="80"/>
    <n v="0"/>
    <n v="23"/>
    <n v="2"/>
    <n v="3"/>
    <n v="19"/>
    <n v="7"/>
    <n v="12"/>
    <n v="8"/>
  </r>
  <r>
    <x v="33"/>
    <x v="1"/>
    <x v="0"/>
    <n v="1147"/>
    <x v="0"/>
    <n v="3"/>
    <n v="3"/>
    <x v="3"/>
    <x v="0"/>
    <x v="219"/>
    <n v="4"/>
    <x v="0"/>
    <n v="52"/>
    <n v="3"/>
    <n v="2"/>
    <x v="0"/>
    <n v="1"/>
    <x v="1"/>
    <n v="5940"/>
    <n v="17011"/>
    <n v="2"/>
    <s v="Y"/>
    <x v="1"/>
    <n v="14"/>
    <n v="3"/>
    <n v="4"/>
    <n v="80"/>
    <n v="1"/>
    <n v="16"/>
    <n v="4"/>
    <n v="3"/>
    <n v="6"/>
    <n v="2"/>
    <n v="0"/>
    <n v="5"/>
  </r>
  <r>
    <x v="9"/>
    <x v="1"/>
    <x v="0"/>
    <n v="1396"/>
    <x v="1"/>
    <n v="5"/>
    <n v="2"/>
    <x v="0"/>
    <x v="0"/>
    <x v="220"/>
    <n v="4"/>
    <x v="1"/>
    <n v="62"/>
    <n v="3"/>
    <n v="2"/>
    <x v="2"/>
    <n v="2"/>
    <x v="0"/>
    <n v="5914"/>
    <n v="9945"/>
    <n v="8"/>
    <s v="Y"/>
    <x v="1"/>
    <n v="16"/>
    <n v="3"/>
    <n v="4"/>
    <n v="80"/>
    <n v="0"/>
    <n v="16"/>
    <n v="3"/>
    <n v="4"/>
    <n v="13"/>
    <n v="11"/>
    <n v="3"/>
    <n v="7"/>
  </r>
  <r>
    <x v="3"/>
    <x v="1"/>
    <x v="0"/>
    <n v="147"/>
    <x v="1"/>
    <n v="4"/>
    <n v="4"/>
    <x v="2"/>
    <x v="0"/>
    <x v="221"/>
    <n v="3"/>
    <x v="0"/>
    <n v="47"/>
    <n v="2"/>
    <n v="1"/>
    <x v="1"/>
    <n v="2"/>
    <x v="1"/>
    <n v="2622"/>
    <n v="13248"/>
    <n v="6"/>
    <s v="Y"/>
    <x v="1"/>
    <n v="21"/>
    <n v="4"/>
    <n v="4"/>
    <n v="80"/>
    <n v="0"/>
    <n v="7"/>
    <n v="3"/>
    <n v="3"/>
    <n v="3"/>
    <n v="2"/>
    <n v="1"/>
    <n v="1"/>
  </r>
  <r>
    <x v="2"/>
    <x v="1"/>
    <x v="1"/>
    <n v="663"/>
    <x v="1"/>
    <n v="11"/>
    <n v="3"/>
    <x v="1"/>
    <x v="0"/>
    <x v="222"/>
    <n v="2"/>
    <x v="1"/>
    <n v="47"/>
    <n v="3"/>
    <n v="3"/>
    <x v="7"/>
    <n v="4"/>
    <x v="2"/>
    <n v="12185"/>
    <n v="10056"/>
    <n v="1"/>
    <s v="Y"/>
    <x v="0"/>
    <n v="14"/>
    <n v="3"/>
    <n v="3"/>
    <n v="80"/>
    <n v="3"/>
    <n v="10"/>
    <n v="1"/>
    <n v="3"/>
    <n v="10"/>
    <n v="8"/>
    <n v="0"/>
    <n v="7"/>
  </r>
  <r>
    <x v="8"/>
    <x v="1"/>
    <x v="0"/>
    <n v="119"/>
    <x v="0"/>
    <n v="3"/>
    <n v="3"/>
    <x v="0"/>
    <x v="0"/>
    <x v="223"/>
    <n v="1"/>
    <x v="1"/>
    <n v="76"/>
    <n v="3"/>
    <n v="3"/>
    <x v="0"/>
    <n v="3"/>
    <x v="2"/>
    <n v="10609"/>
    <n v="9647"/>
    <n v="0"/>
    <s v="Y"/>
    <x v="1"/>
    <n v="12"/>
    <n v="3"/>
    <n v="3"/>
    <n v="80"/>
    <n v="2"/>
    <n v="17"/>
    <n v="6"/>
    <n v="2"/>
    <n v="16"/>
    <n v="10"/>
    <n v="5"/>
    <n v="13"/>
  </r>
  <r>
    <x v="12"/>
    <x v="1"/>
    <x v="2"/>
    <n v="979"/>
    <x v="1"/>
    <n v="1"/>
    <n v="4"/>
    <x v="2"/>
    <x v="0"/>
    <x v="224"/>
    <n v="3"/>
    <x v="1"/>
    <n v="90"/>
    <n v="1"/>
    <n v="2"/>
    <x v="3"/>
    <n v="3"/>
    <x v="1"/>
    <n v="4345"/>
    <n v="4381"/>
    <n v="0"/>
    <s v="Y"/>
    <x v="1"/>
    <n v="12"/>
    <n v="3"/>
    <n v="4"/>
    <n v="80"/>
    <n v="1"/>
    <n v="6"/>
    <n v="2"/>
    <n v="3"/>
    <n v="5"/>
    <n v="4"/>
    <n v="1"/>
    <n v="4"/>
  </r>
  <r>
    <x v="6"/>
    <x v="1"/>
    <x v="0"/>
    <n v="142"/>
    <x v="1"/>
    <n v="3"/>
    <n v="3"/>
    <x v="0"/>
    <x v="0"/>
    <x v="225"/>
    <n v="3"/>
    <x v="1"/>
    <n v="70"/>
    <n v="2"/>
    <n v="1"/>
    <x v="1"/>
    <n v="4"/>
    <x v="1"/>
    <n v="2177"/>
    <n v="8456"/>
    <n v="3"/>
    <s v="Y"/>
    <x v="1"/>
    <n v="17"/>
    <n v="3"/>
    <n v="1"/>
    <n v="80"/>
    <n v="1"/>
    <n v="7"/>
    <n v="6"/>
    <n v="3"/>
    <n v="1"/>
    <n v="0"/>
    <n v="0"/>
    <n v="0"/>
  </r>
  <r>
    <x v="2"/>
    <x v="1"/>
    <x v="1"/>
    <n v="319"/>
    <x v="0"/>
    <n v="4"/>
    <n v="4"/>
    <x v="3"/>
    <x v="0"/>
    <x v="226"/>
    <n v="1"/>
    <x v="1"/>
    <n v="41"/>
    <n v="3"/>
    <n v="1"/>
    <x v="6"/>
    <n v="4"/>
    <x v="2"/>
    <n v="2793"/>
    <n v="2539"/>
    <n v="4"/>
    <s v="Y"/>
    <x v="1"/>
    <n v="17"/>
    <n v="3"/>
    <n v="3"/>
    <n v="80"/>
    <n v="1"/>
    <n v="13"/>
    <n v="2"/>
    <n v="3"/>
    <n v="9"/>
    <n v="8"/>
    <n v="5"/>
    <n v="8"/>
  </r>
  <r>
    <x v="11"/>
    <x v="1"/>
    <x v="1"/>
    <n v="1413"/>
    <x v="0"/>
    <n v="1"/>
    <n v="1"/>
    <x v="2"/>
    <x v="0"/>
    <x v="227"/>
    <n v="2"/>
    <x v="0"/>
    <n v="42"/>
    <n v="3"/>
    <n v="3"/>
    <x v="0"/>
    <n v="4"/>
    <x v="1"/>
    <n v="7918"/>
    <n v="6599"/>
    <n v="1"/>
    <s v="Y"/>
    <x v="1"/>
    <n v="14"/>
    <n v="3"/>
    <n v="4"/>
    <n v="80"/>
    <n v="1"/>
    <n v="11"/>
    <n v="5"/>
    <n v="3"/>
    <n v="11"/>
    <n v="10"/>
    <n v="4"/>
    <n v="1"/>
  </r>
  <r>
    <x v="10"/>
    <x v="1"/>
    <x v="1"/>
    <n v="944"/>
    <x v="0"/>
    <n v="1"/>
    <n v="3"/>
    <x v="3"/>
    <x v="0"/>
    <x v="228"/>
    <n v="3"/>
    <x v="0"/>
    <n v="92"/>
    <n v="3"/>
    <n v="3"/>
    <x v="0"/>
    <n v="3"/>
    <x v="0"/>
    <n v="8789"/>
    <n v="9096"/>
    <n v="1"/>
    <s v="Y"/>
    <x v="1"/>
    <n v="14"/>
    <n v="3"/>
    <n v="1"/>
    <n v="80"/>
    <n v="0"/>
    <n v="10"/>
    <n v="3"/>
    <n v="4"/>
    <n v="10"/>
    <n v="7"/>
    <n v="0"/>
    <n v="8"/>
  </r>
  <r>
    <x v="11"/>
    <x v="0"/>
    <x v="0"/>
    <n v="896"/>
    <x v="1"/>
    <n v="18"/>
    <n v="1"/>
    <x v="2"/>
    <x v="0"/>
    <x v="229"/>
    <n v="3"/>
    <x v="1"/>
    <n v="86"/>
    <n v="2"/>
    <n v="1"/>
    <x v="1"/>
    <n v="4"/>
    <x v="0"/>
    <n v="2389"/>
    <n v="14961"/>
    <n v="1"/>
    <s v="Y"/>
    <x v="0"/>
    <n v="13"/>
    <n v="3"/>
    <n v="3"/>
    <n v="80"/>
    <n v="0"/>
    <n v="4"/>
    <n v="3"/>
    <n v="2"/>
    <n v="4"/>
    <n v="3"/>
    <n v="0"/>
    <n v="1"/>
  </r>
  <r>
    <x v="39"/>
    <x v="1"/>
    <x v="0"/>
    <n v="1323"/>
    <x v="1"/>
    <n v="2"/>
    <n v="3"/>
    <x v="0"/>
    <x v="0"/>
    <x v="230"/>
    <n v="3"/>
    <x v="0"/>
    <n v="89"/>
    <n v="2"/>
    <n v="1"/>
    <x v="2"/>
    <n v="4"/>
    <x v="0"/>
    <n v="3212"/>
    <n v="3300"/>
    <n v="7"/>
    <s v="Y"/>
    <x v="1"/>
    <n v="15"/>
    <n v="3"/>
    <n v="2"/>
    <n v="80"/>
    <n v="0"/>
    <n v="6"/>
    <n v="3"/>
    <n v="2"/>
    <n v="2"/>
    <n v="2"/>
    <n v="2"/>
    <n v="2"/>
  </r>
  <r>
    <x v="19"/>
    <x v="1"/>
    <x v="0"/>
    <n v="532"/>
    <x v="1"/>
    <n v="4"/>
    <n v="2"/>
    <x v="4"/>
    <x v="0"/>
    <x v="231"/>
    <n v="3"/>
    <x v="1"/>
    <n v="58"/>
    <n v="3"/>
    <n v="5"/>
    <x v="5"/>
    <n v="4"/>
    <x v="1"/>
    <n v="19232"/>
    <n v="4933"/>
    <n v="1"/>
    <s v="Y"/>
    <x v="1"/>
    <n v="11"/>
    <n v="3"/>
    <n v="4"/>
    <n v="80"/>
    <n v="0"/>
    <n v="22"/>
    <n v="3"/>
    <n v="3"/>
    <n v="22"/>
    <n v="17"/>
    <n v="11"/>
    <n v="15"/>
  </r>
  <r>
    <x v="6"/>
    <x v="1"/>
    <x v="0"/>
    <n v="818"/>
    <x v="2"/>
    <n v="6"/>
    <n v="2"/>
    <x v="2"/>
    <x v="0"/>
    <x v="232"/>
    <n v="2"/>
    <x v="1"/>
    <n v="52"/>
    <n v="3"/>
    <n v="1"/>
    <x v="8"/>
    <n v="3"/>
    <x v="1"/>
    <n v="2267"/>
    <n v="25657"/>
    <n v="8"/>
    <s v="Y"/>
    <x v="1"/>
    <n v="17"/>
    <n v="3"/>
    <n v="4"/>
    <n v="80"/>
    <n v="0"/>
    <n v="7"/>
    <n v="2"/>
    <n v="2"/>
    <n v="2"/>
    <n v="2"/>
    <n v="2"/>
    <n v="2"/>
  </r>
  <r>
    <x v="24"/>
    <x v="1"/>
    <x v="0"/>
    <n v="854"/>
    <x v="0"/>
    <n v="1"/>
    <n v="4"/>
    <x v="2"/>
    <x v="0"/>
    <x v="233"/>
    <n v="4"/>
    <x v="0"/>
    <n v="68"/>
    <n v="3"/>
    <n v="5"/>
    <x v="5"/>
    <n v="4"/>
    <x v="2"/>
    <n v="19517"/>
    <n v="24118"/>
    <n v="3"/>
    <s v="Y"/>
    <x v="1"/>
    <n v="11"/>
    <n v="3"/>
    <n v="3"/>
    <n v="80"/>
    <n v="1"/>
    <n v="32"/>
    <n v="3"/>
    <n v="2"/>
    <n v="7"/>
    <n v="0"/>
    <n v="0"/>
    <n v="6"/>
  </r>
  <r>
    <x v="3"/>
    <x v="0"/>
    <x v="0"/>
    <n v="813"/>
    <x v="1"/>
    <n v="14"/>
    <n v="3"/>
    <x v="2"/>
    <x v="0"/>
    <x v="234"/>
    <n v="3"/>
    <x v="1"/>
    <n v="58"/>
    <n v="3"/>
    <n v="1"/>
    <x v="2"/>
    <n v="4"/>
    <x v="1"/>
    <n v="2436"/>
    <n v="22149"/>
    <n v="5"/>
    <s v="Y"/>
    <x v="0"/>
    <n v="13"/>
    <n v="3"/>
    <n v="3"/>
    <n v="80"/>
    <n v="1"/>
    <n v="8"/>
    <n v="2"/>
    <n v="1"/>
    <n v="5"/>
    <n v="4"/>
    <n v="0"/>
    <n v="4"/>
  </r>
  <r>
    <x v="23"/>
    <x v="1"/>
    <x v="0"/>
    <n v="1034"/>
    <x v="0"/>
    <n v="16"/>
    <n v="3"/>
    <x v="3"/>
    <x v="0"/>
    <x v="235"/>
    <n v="4"/>
    <x v="0"/>
    <n v="80"/>
    <n v="3"/>
    <n v="4"/>
    <x v="5"/>
    <n v="4"/>
    <x v="1"/>
    <n v="16064"/>
    <n v="7744"/>
    <n v="5"/>
    <s v="Y"/>
    <x v="0"/>
    <n v="22"/>
    <n v="4"/>
    <n v="3"/>
    <n v="80"/>
    <n v="1"/>
    <n v="22"/>
    <n v="3"/>
    <n v="3"/>
    <n v="17"/>
    <n v="13"/>
    <n v="1"/>
    <n v="9"/>
  </r>
  <r>
    <x v="3"/>
    <x v="0"/>
    <x v="0"/>
    <n v="465"/>
    <x v="1"/>
    <n v="2"/>
    <n v="2"/>
    <x v="0"/>
    <x v="0"/>
    <x v="236"/>
    <n v="1"/>
    <x v="0"/>
    <n v="39"/>
    <n v="3"/>
    <n v="1"/>
    <x v="2"/>
    <n v="1"/>
    <x v="1"/>
    <n v="2707"/>
    <n v="21509"/>
    <n v="7"/>
    <s v="Y"/>
    <x v="1"/>
    <n v="20"/>
    <n v="4"/>
    <n v="1"/>
    <n v="80"/>
    <n v="0"/>
    <n v="13"/>
    <n v="3"/>
    <n v="4"/>
    <n v="9"/>
    <n v="7"/>
    <n v="1"/>
    <n v="7"/>
  </r>
  <r>
    <x v="39"/>
    <x v="1"/>
    <x v="2"/>
    <n v="771"/>
    <x v="0"/>
    <n v="2"/>
    <n v="4"/>
    <x v="0"/>
    <x v="0"/>
    <x v="237"/>
    <n v="1"/>
    <x v="1"/>
    <n v="79"/>
    <n v="2"/>
    <n v="5"/>
    <x v="5"/>
    <n v="3"/>
    <x v="0"/>
    <n v="19068"/>
    <n v="21030"/>
    <n v="1"/>
    <s v="Y"/>
    <x v="0"/>
    <n v="18"/>
    <n v="3"/>
    <n v="4"/>
    <n v="80"/>
    <n v="0"/>
    <n v="33"/>
    <n v="2"/>
    <n v="4"/>
    <n v="33"/>
    <n v="7"/>
    <n v="15"/>
    <n v="12"/>
  </r>
  <r>
    <x v="5"/>
    <x v="1"/>
    <x v="0"/>
    <n v="1401"/>
    <x v="0"/>
    <n v="4"/>
    <n v="2"/>
    <x v="0"/>
    <x v="0"/>
    <x v="238"/>
    <n v="3"/>
    <x v="0"/>
    <n v="56"/>
    <n v="3"/>
    <n v="1"/>
    <x v="6"/>
    <n v="2"/>
    <x v="1"/>
    <n v="3931"/>
    <n v="20990"/>
    <n v="2"/>
    <s v="Y"/>
    <x v="1"/>
    <n v="11"/>
    <n v="3"/>
    <n v="1"/>
    <n v="80"/>
    <n v="1"/>
    <n v="6"/>
    <n v="5"/>
    <n v="3"/>
    <n v="4"/>
    <n v="3"/>
    <n v="1"/>
    <n v="2"/>
  </r>
  <r>
    <x v="5"/>
    <x v="0"/>
    <x v="0"/>
    <n v="515"/>
    <x v="1"/>
    <n v="1"/>
    <n v="3"/>
    <x v="0"/>
    <x v="0"/>
    <x v="239"/>
    <n v="4"/>
    <x v="1"/>
    <n v="62"/>
    <n v="2"/>
    <n v="1"/>
    <x v="2"/>
    <n v="3"/>
    <x v="0"/>
    <n v="3730"/>
    <n v="9571"/>
    <n v="0"/>
    <s v="Y"/>
    <x v="0"/>
    <n v="14"/>
    <n v="3"/>
    <n v="4"/>
    <n v="80"/>
    <n v="0"/>
    <n v="4"/>
    <n v="2"/>
    <n v="1"/>
    <n v="3"/>
    <n v="2"/>
    <n v="1"/>
    <n v="2"/>
  </r>
  <r>
    <x v="22"/>
    <x v="1"/>
    <x v="0"/>
    <n v="1431"/>
    <x v="1"/>
    <n v="1"/>
    <n v="4"/>
    <x v="2"/>
    <x v="0"/>
    <x v="240"/>
    <n v="3"/>
    <x v="0"/>
    <n v="96"/>
    <n v="3"/>
    <n v="1"/>
    <x v="2"/>
    <n v="3"/>
    <x v="2"/>
    <n v="2232"/>
    <n v="15417"/>
    <n v="7"/>
    <s v="Y"/>
    <x v="1"/>
    <n v="14"/>
    <n v="3"/>
    <n v="3"/>
    <n v="80"/>
    <n v="3"/>
    <n v="7"/>
    <n v="1"/>
    <n v="3"/>
    <n v="3"/>
    <n v="2"/>
    <n v="1"/>
    <n v="2"/>
  </r>
  <r>
    <x v="5"/>
    <x v="1"/>
    <x v="2"/>
    <n v="976"/>
    <x v="0"/>
    <n v="26"/>
    <n v="4"/>
    <x v="3"/>
    <x v="0"/>
    <x v="241"/>
    <n v="3"/>
    <x v="1"/>
    <n v="100"/>
    <n v="3"/>
    <n v="2"/>
    <x v="0"/>
    <n v="4"/>
    <x v="1"/>
    <n v="4465"/>
    <n v="12069"/>
    <n v="0"/>
    <s v="Y"/>
    <x v="1"/>
    <n v="18"/>
    <n v="3"/>
    <n v="1"/>
    <n v="80"/>
    <n v="0"/>
    <n v="4"/>
    <n v="2"/>
    <n v="3"/>
    <n v="3"/>
    <n v="2"/>
    <n v="2"/>
    <n v="2"/>
  </r>
  <r>
    <x v="0"/>
    <x v="1"/>
    <x v="0"/>
    <n v="1411"/>
    <x v="1"/>
    <n v="19"/>
    <n v="2"/>
    <x v="0"/>
    <x v="0"/>
    <x v="242"/>
    <n v="3"/>
    <x v="1"/>
    <n v="36"/>
    <n v="3"/>
    <n v="2"/>
    <x v="1"/>
    <n v="1"/>
    <x v="2"/>
    <n v="3072"/>
    <n v="19877"/>
    <n v="2"/>
    <s v="Y"/>
    <x v="1"/>
    <n v="16"/>
    <n v="3"/>
    <n v="1"/>
    <n v="80"/>
    <n v="2"/>
    <n v="17"/>
    <n v="2"/>
    <n v="2"/>
    <n v="1"/>
    <n v="0"/>
    <n v="0"/>
    <n v="0"/>
  </r>
  <r>
    <x v="32"/>
    <x v="1"/>
    <x v="0"/>
    <n v="1300"/>
    <x v="1"/>
    <n v="24"/>
    <n v="2"/>
    <x v="4"/>
    <x v="0"/>
    <x v="243"/>
    <n v="1"/>
    <x v="1"/>
    <n v="62"/>
    <n v="3"/>
    <n v="2"/>
    <x v="1"/>
    <n v="4"/>
    <x v="2"/>
    <n v="3319"/>
    <n v="24447"/>
    <n v="1"/>
    <s v="Y"/>
    <x v="1"/>
    <n v="17"/>
    <n v="3"/>
    <n v="1"/>
    <n v="80"/>
    <n v="2"/>
    <n v="9"/>
    <n v="3"/>
    <n v="3"/>
    <n v="9"/>
    <n v="8"/>
    <n v="4"/>
    <n v="7"/>
  </r>
  <r>
    <x v="28"/>
    <x v="1"/>
    <x v="0"/>
    <n v="252"/>
    <x v="1"/>
    <n v="1"/>
    <n v="3"/>
    <x v="1"/>
    <x v="0"/>
    <x v="244"/>
    <n v="3"/>
    <x v="1"/>
    <n v="70"/>
    <n v="4"/>
    <n v="5"/>
    <x v="5"/>
    <n v="4"/>
    <x v="1"/>
    <n v="19202"/>
    <n v="15970"/>
    <n v="0"/>
    <s v="Y"/>
    <x v="1"/>
    <n v="11"/>
    <n v="3"/>
    <n v="3"/>
    <n v="80"/>
    <n v="1"/>
    <n v="25"/>
    <n v="2"/>
    <n v="3"/>
    <n v="24"/>
    <n v="0"/>
    <n v="1"/>
    <n v="7"/>
  </r>
  <r>
    <x v="12"/>
    <x v="1"/>
    <x v="1"/>
    <n v="1327"/>
    <x v="1"/>
    <n v="3"/>
    <n v="4"/>
    <x v="2"/>
    <x v="0"/>
    <x v="245"/>
    <n v="2"/>
    <x v="1"/>
    <n v="73"/>
    <n v="3"/>
    <n v="3"/>
    <x v="7"/>
    <n v="3"/>
    <x v="2"/>
    <n v="13675"/>
    <n v="13523"/>
    <n v="9"/>
    <s v="Y"/>
    <x v="1"/>
    <n v="12"/>
    <n v="3"/>
    <n v="1"/>
    <n v="80"/>
    <n v="1"/>
    <n v="9"/>
    <n v="3"/>
    <n v="3"/>
    <n v="2"/>
    <n v="2"/>
    <n v="2"/>
    <n v="2"/>
  </r>
  <r>
    <x v="3"/>
    <x v="1"/>
    <x v="0"/>
    <n v="832"/>
    <x v="1"/>
    <n v="5"/>
    <n v="4"/>
    <x v="0"/>
    <x v="0"/>
    <x v="246"/>
    <n v="3"/>
    <x v="0"/>
    <n v="63"/>
    <n v="2"/>
    <n v="1"/>
    <x v="1"/>
    <n v="4"/>
    <x v="1"/>
    <n v="2911"/>
    <n v="14776"/>
    <n v="1"/>
    <s v="Y"/>
    <x v="1"/>
    <n v="13"/>
    <n v="3"/>
    <n v="3"/>
    <n v="80"/>
    <n v="1"/>
    <n v="2"/>
    <n v="2"/>
    <n v="2"/>
    <n v="2"/>
    <n v="2"/>
    <n v="0"/>
    <n v="2"/>
  </r>
  <r>
    <x v="13"/>
    <x v="1"/>
    <x v="0"/>
    <n v="470"/>
    <x v="1"/>
    <n v="2"/>
    <n v="4"/>
    <x v="0"/>
    <x v="0"/>
    <x v="247"/>
    <n v="4"/>
    <x v="1"/>
    <n v="84"/>
    <n v="2"/>
    <n v="2"/>
    <x v="3"/>
    <n v="1"/>
    <x v="1"/>
    <n v="5957"/>
    <n v="23687"/>
    <n v="6"/>
    <s v="Y"/>
    <x v="1"/>
    <n v="13"/>
    <n v="3"/>
    <n v="2"/>
    <n v="80"/>
    <n v="1"/>
    <n v="13"/>
    <n v="3"/>
    <n v="3"/>
    <n v="11"/>
    <n v="9"/>
    <n v="5"/>
    <n v="9"/>
  </r>
  <r>
    <x v="2"/>
    <x v="1"/>
    <x v="0"/>
    <n v="1017"/>
    <x v="1"/>
    <n v="1"/>
    <n v="2"/>
    <x v="2"/>
    <x v="0"/>
    <x v="248"/>
    <n v="3"/>
    <x v="0"/>
    <n v="83"/>
    <n v="2"/>
    <n v="1"/>
    <x v="1"/>
    <n v="1"/>
    <x v="1"/>
    <n v="3920"/>
    <n v="18697"/>
    <n v="2"/>
    <s v="Y"/>
    <x v="1"/>
    <n v="14"/>
    <n v="3"/>
    <n v="1"/>
    <n v="80"/>
    <n v="1"/>
    <n v="17"/>
    <n v="2"/>
    <n v="2"/>
    <n v="3"/>
    <n v="1"/>
    <n v="0"/>
    <n v="2"/>
  </r>
  <r>
    <x v="28"/>
    <x v="1"/>
    <x v="1"/>
    <n v="1199"/>
    <x v="1"/>
    <n v="7"/>
    <n v="4"/>
    <x v="0"/>
    <x v="0"/>
    <x v="249"/>
    <n v="1"/>
    <x v="1"/>
    <n v="77"/>
    <n v="4"/>
    <n v="2"/>
    <x v="3"/>
    <n v="3"/>
    <x v="1"/>
    <n v="6434"/>
    <n v="5118"/>
    <n v="4"/>
    <s v="Y"/>
    <x v="1"/>
    <n v="17"/>
    <n v="3"/>
    <n v="4"/>
    <n v="80"/>
    <n v="1"/>
    <n v="9"/>
    <n v="1"/>
    <n v="3"/>
    <n v="3"/>
    <n v="2"/>
    <n v="0"/>
    <n v="2"/>
  </r>
  <r>
    <x v="2"/>
    <x v="0"/>
    <x v="1"/>
    <n v="504"/>
    <x v="1"/>
    <n v="10"/>
    <n v="3"/>
    <x v="2"/>
    <x v="0"/>
    <x v="250"/>
    <n v="1"/>
    <x v="1"/>
    <n v="61"/>
    <n v="3"/>
    <n v="3"/>
    <x v="3"/>
    <n v="3"/>
    <x v="2"/>
    <n v="10048"/>
    <n v="22573"/>
    <n v="6"/>
    <s v="Y"/>
    <x v="1"/>
    <n v="11"/>
    <n v="3"/>
    <n v="2"/>
    <n v="80"/>
    <n v="2"/>
    <n v="17"/>
    <n v="5"/>
    <n v="3"/>
    <n v="1"/>
    <n v="0"/>
    <n v="0"/>
    <n v="0"/>
  </r>
  <r>
    <x v="22"/>
    <x v="1"/>
    <x v="1"/>
    <n v="505"/>
    <x v="1"/>
    <n v="2"/>
    <n v="4"/>
    <x v="4"/>
    <x v="0"/>
    <x v="251"/>
    <n v="3"/>
    <x v="0"/>
    <n v="64"/>
    <n v="3"/>
    <n v="3"/>
    <x v="4"/>
    <n v="3"/>
    <x v="0"/>
    <n v="10938"/>
    <n v="6420"/>
    <n v="0"/>
    <s v="Y"/>
    <x v="1"/>
    <n v="25"/>
    <n v="4"/>
    <n v="4"/>
    <n v="80"/>
    <n v="0"/>
    <n v="20"/>
    <n v="1"/>
    <n v="3"/>
    <n v="19"/>
    <n v="6"/>
    <n v="11"/>
    <n v="8"/>
  </r>
  <r>
    <x v="11"/>
    <x v="1"/>
    <x v="0"/>
    <n v="665"/>
    <x v="1"/>
    <n v="15"/>
    <n v="3"/>
    <x v="0"/>
    <x v="0"/>
    <x v="252"/>
    <n v="3"/>
    <x v="1"/>
    <n v="60"/>
    <n v="3"/>
    <n v="1"/>
    <x v="1"/>
    <n v="4"/>
    <x v="0"/>
    <n v="2340"/>
    <n v="22673"/>
    <n v="1"/>
    <s v="Y"/>
    <x v="1"/>
    <n v="19"/>
    <n v="3"/>
    <n v="1"/>
    <n v="80"/>
    <n v="0"/>
    <n v="6"/>
    <n v="1"/>
    <n v="3"/>
    <n v="6"/>
    <n v="5"/>
    <n v="1"/>
    <n v="5"/>
  </r>
  <r>
    <x v="19"/>
    <x v="1"/>
    <x v="0"/>
    <n v="916"/>
    <x v="1"/>
    <n v="17"/>
    <n v="2"/>
    <x v="0"/>
    <x v="0"/>
    <x v="253"/>
    <n v="4"/>
    <x v="0"/>
    <n v="82"/>
    <n v="4"/>
    <n v="2"/>
    <x v="1"/>
    <n v="1"/>
    <x v="0"/>
    <n v="6545"/>
    <n v="23016"/>
    <n v="3"/>
    <s v="Y"/>
    <x v="0"/>
    <n v="13"/>
    <n v="3"/>
    <n v="3"/>
    <n v="80"/>
    <n v="0"/>
    <n v="10"/>
    <n v="1"/>
    <n v="3"/>
    <n v="3"/>
    <n v="2"/>
    <n v="0"/>
    <n v="2"/>
  </r>
  <r>
    <x v="11"/>
    <x v="1"/>
    <x v="0"/>
    <n v="1247"/>
    <x v="0"/>
    <n v="20"/>
    <n v="2"/>
    <x v="3"/>
    <x v="0"/>
    <x v="254"/>
    <n v="4"/>
    <x v="1"/>
    <n v="45"/>
    <n v="3"/>
    <n v="2"/>
    <x v="0"/>
    <n v="4"/>
    <x v="2"/>
    <n v="6931"/>
    <n v="10732"/>
    <n v="2"/>
    <s v="Y"/>
    <x v="1"/>
    <n v="14"/>
    <n v="3"/>
    <n v="4"/>
    <n v="80"/>
    <n v="1"/>
    <n v="10"/>
    <n v="2"/>
    <n v="3"/>
    <n v="3"/>
    <n v="2"/>
    <n v="0"/>
    <n v="2"/>
  </r>
  <r>
    <x v="36"/>
    <x v="1"/>
    <x v="0"/>
    <n v="685"/>
    <x v="1"/>
    <n v="1"/>
    <n v="3"/>
    <x v="0"/>
    <x v="0"/>
    <x v="255"/>
    <n v="1"/>
    <x v="0"/>
    <n v="62"/>
    <n v="3"/>
    <n v="2"/>
    <x v="3"/>
    <n v="3"/>
    <x v="1"/>
    <n v="4898"/>
    <n v="7505"/>
    <n v="0"/>
    <s v="Y"/>
    <x v="1"/>
    <n v="12"/>
    <n v="3"/>
    <n v="4"/>
    <n v="80"/>
    <n v="2"/>
    <n v="5"/>
    <n v="3"/>
    <n v="3"/>
    <n v="4"/>
    <n v="2"/>
    <n v="1"/>
    <n v="2"/>
  </r>
  <r>
    <x v="19"/>
    <x v="1"/>
    <x v="0"/>
    <n v="269"/>
    <x v="1"/>
    <n v="2"/>
    <n v="3"/>
    <x v="2"/>
    <x v="0"/>
    <x v="256"/>
    <n v="4"/>
    <x v="0"/>
    <n v="56"/>
    <n v="2"/>
    <n v="1"/>
    <x v="2"/>
    <n v="1"/>
    <x v="2"/>
    <n v="2593"/>
    <n v="8007"/>
    <n v="0"/>
    <s v="Y"/>
    <x v="0"/>
    <n v="11"/>
    <n v="3"/>
    <n v="3"/>
    <n v="80"/>
    <n v="1"/>
    <n v="10"/>
    <n v="4"/>
    <n v="3"/>
    <n v="9"/>
    <n v="6"/>
    <n v="7"/>
    <n v="8"/>
  </r>
  <r>
    <x v="32"/>
    <x v="1"/>
    <x v="0"/>
    <n v="1416"/>
    <x v="1"/>
    <n v="2"/>
    <n v="2"/>
    <x v="2"/>
    <x v="0"/>
    <x v="257"/>
    <n v="1"/>
    <x v="1"/>
    <n v="49"/>
    <n v="3"/>
    <n v="5"/>
    <x v="7"/>
    <n v="3"/>
    <x v="2"/>
    <n v="19436"/>
    <n v="5949"/>
    <n v="0"/>
    <s v="Y"/>
    <x v="1"/>
    <n v="19"/>
    <n v="3"/>
    <n v="4"/>
    <n v="80"/>
    <n v="1"/>
    <n v="22"/>
    <n v="5"/>
    <n v="3"/>
    <n v="21"/>
    <n v="7"/>
    <n v="3"/>
    <n v="9"/>
  </r>
  <r>
    <x v="31"/>
    <x v="1"/>
    <x v="0"/>
    <n v="833"/>
    <x v="1"/>
    <n v="1"/>
    <n v="3"/>
    <x v="0"/>
    <x v="0"/>
    <x v="258"/>
    <n v="3"/>
    <x v="1"/>
    <n v="96"/>
    <n v="3"/>
    <n v="1"/>
    <x v="1"/>
    <n v="4"/>
    <x v="1"/>
    <n v="2723"/>
    <n v="23231"/>
    <n v="1"/>
    <s v="Y"/>
    <x v="1"/>
    <n v="11"/>
    <n v="3"/>
    <n v="2"/>
    <n v="80"/>
    <n v="0"/>
    <n v="1"/>
    <n v="0"/>
    <n v="2"/>
    <n v="1"/>
    <n v="0"/>
    <n v="0"/>
    <n v="0"/>
  </r>
  <r>
    <x v="12"/>
    <x v="0"/>
    <x v="1"/>
    <n v="307"/>
    <x v="1"/>
    <n v="29"/>
    <n v="2"/>
    <x v="2"/>
    <x v="0"/>
    <x v="259"/>
    <n v="3"/>
    <x v="1"/>
    <n v="71"/>
    <n v="2"/>
    <n v="1"/>
    <x v="2"/>
    <n v="2"/>
    <x v="0"/>
    <n v="3479"/>
    <n v="11652"/>
    <n v="0"/>
    <s v="Y"/>
    <x v="1"/>
    <n v="11"/>
    <n v="3"/>
    <n v="2"/>
    <n v="80"/>
    <n v="0"/>
    <n v="6"/>
    <n v="2"/>
    <n v="4"/>
    <n v="5"/>
    <n v="4"/>
    <n v="1"/>
    <n v="4"/>
  </r>
  <r>
    <x v="5"/>
    <x v="1"/>
    <x v="1"/>
    <n v="1311"/>
    <x v="1"/>
    <n v="7"/>
    <n v="3"/>
    <x v="0"/>
    <x v="0"/>
    <x v="260"/>
    <n v="2"/>
    <x v="1"/>
    <n v="100"/>
    <n v="4"/>
    <n v="1"/>
    <x v="2"/>
    <n v="2"/>
    <x v="1"/>
    <n v="2794"/>
    <n v="26062"/>
    <n v="1"/>
    <s v="Y"/>
    <x v="1"/>
    <n v="20"/>
    <n v="4"/>
    <n v="3"/>
    <n v="80"/>
    <n v="0"/>
    <n v="5"/>
    <n v="3"/>
    <n v="1"/>
    <n v="5"/>
    <n v="1"/>
    <n v="0"/>
    <n v="3"/>
  </r>
  <r>
    <x v="8"/>
    <x v="1"/>
    <x v="2"/>
    <n v="1327"/>
    <x v="0"/>
    <n v="2"/>
    <n v="2"/>
    <x v="0"/>
    <x v="0"/>
    <x v="261"/>
    <n v="4"/>
    <x v="1"/>
    <n v="39"/>
    <n v="2"/>
    <n v="2"/>
    <x v="0"/>
    <n v="4"/>
    <x v="1"/>
    <n v="5249"/>
    <n v="19682"/>
    <n v="3"/>
    <s v="Y"/>
    <x v="1"/>
    <n v="18"/>
    <n v="3"/>
    <n v="4"/>
    <n v="80"/>
    <n v="1"/>
    <n v="13"/>
    <n v="0"/>
    <n v="3"/>
    <n v="8"/>
    <n v="7"/>
    <n v="7"/>
    <n v="5"/>
  </r>
  <r>
    <x v="5"/>
    <x v="1"/>
    <x v="0"/>
    <n v="128"/>
    <x v="1"/>
    <n v="2"/>
    <n v="1"/>
    <x v="4"/>
    <x v="0"/>
    <x v="262"/>
    <n v="4"/>
    <x v="1"/>
    <n v="84"/>
    <n v="2"/>
    <n v="2"/>
    <x v="2"/>
    <n v="1"/>
    <x v="0"/>
    <n v="2176"/>
    <n v="19737"/>
    <n v="4"/>
    <s v="Y"/>
    <x v="1"/>
    <n v="13"/>
    <n v="3"/>
    <n v="4"/>
    <n v="80"/>
    <n v="0"/>
    <n v="9"/>
    <n v="5"/>
    <n v="3"/>
    <n v="6"/>
    <n v="2"/>
    <n v="0"/>
    <n v="4"/>
  </r>
  <r>
    <x v="21"/>
    <x v="1"/>
    <x v="0"/>
    <n v="488"/>
    <x v="0"/>
    <n v="2"/>
    <n v="3"/>
    <x v="4"/>
    <x v="0"/>
    <x v="263"/>
    <n v="3"/>
    <x v="0"/>
    <n v="75"/>
    <n v="1"/>
    <n v="4"/>
    <x v="5"/>
    <n v="2"/>
    <x v="1"/>
    <n v="16872"/>
    <n v="14977"/>
    <n v="3"/>
    <s v="Y"/>
    <x v="0"/>
    <n v="12"/>
    <n v="3"/>
    <n v="2"/>
    <n v="80"/>
    <n v="1"/>
    <n v="28"/>
    <n v="2"/>
    <n v="2"/>
    <n v="7"/>
    <n v="7"/>
    <n v="7"/>
    <n v="7"/>
  </r>
  <r>
    <x v="14"/>
    <x v="0"/>
    <x v="0"/>
    <n v="529"/>
    <x v="1"/>
    <n v="2"/>
    <n v="4"/>
    <x v="0"/>
    <x v="0"/>
    <x v="264"/>
    <n v="1"/>
    <x v="1"/>
    <n v="79"/>
    <n v="3"/>
    <n v="1"/>
    <x v="2"/>
    <n v="3"/>
    <x v="0"/>
    <n v="3485"/>
    <n v="14935"/>
    <n v="2"/>
    <s v="Y"/>
    <x v="1"/>
    <n v="11"/>
    <n v="3"/>
    <n v="3"/>
    <n v="80"/>
    <n v="0"/>
    <n v="5"/>
    <n v="5"/>
    <n v="1"/>
    <n v="0"/>
    <n v="0"/>
    <n v="0"/>
    <n v="0"/>
  </r>
  <r>
    <x v="11"/>
    <x v="1"/>
    <x v="0"/>
    <n v="1210"/>
    <x v="0"/>
    <n v="2"/>
    <n v="3"/>
    <x v="2"/>
    <x v="0"/>
    <x v="265"/>
    <n v="1"/>
    <x v="1"/>
    <n v="78"/>
    <n v="2"/>
    <n v="2"/>
    <x v="0"/>
    <n v="2"/>
    <x v="1"/>
    <n v="6644"/>
    <n v="3687"/>
    <n v="2"/>
    <s v="Y"/>
    <x v="1"/>
    <n v="19"/>
    <n v="3"/>
    <n v="2"/>
    <n v="80"/>
    <n v="2"/>
    <n v="10"/>
    <n v="2"/>
    <n v="3"/>
    <n v="0"/>
    <n v="0"/>
    <n v="0"/>
    <n v="0"/>
  </r>
  <r>
    <x v="12"/>
    <x v="1"/>
    <x v="0"/>
    <n v="1463"/>
    <x v="1"/>
    <n v="23"/>
    <n v="3"/>
    <x v="2"/>
    <x v="0"/>
    <x v="266"/>
    <n v="2"/>
    <x v="1"/>
    <n v="64"/>
    <n v="2"/>
    <n v="2"/>
    <x v="4"/>
    <n v="4"/>
    <x v="1"/>
    <n v="5582"/>
    <n v="14408"/>
    <n v="0"/>
    <s v="Y"/>
    <x v="1"/>
    <n v="21"/>
    <n v="4"/>
    <n v="2"/>
    <n v="80"/>
    <n v="1"/>
    <n v="10"/>
    <n v="2"/>
    <n v="3"/>
    <n v="9"/>
    <n v="0"/>
    <n v="7"/>
    <n v="8"/>
  </r>
  <r>
    <x v="36"/>
    <x v="1"/>
    <x v="2"/>
    <n v="675"/>
    <x v="1"/>
    <n v="5"/>
    <n v="2"/>
    <x v="0"/>
    <x v="0"/>
    <x v="267"/>
    <n v="2"/>
    <x v="1"/>
    <n v="85"/>
    <n v="4"/>
    <n v="2"/>
    <x v="4"/>
    <n v="1"/>
    <x v="2"/>
    <n v="4000"/>
    <n v="18384"/>
    <n v="1"/>
    <s v="Y"/>
    <x v="1"/>
    <n v="12"/>
    <n v="3"/>
    <n v="4"/>
    <n v="80"/>
    <n v="2"/>
    <n v="6"/>
    <n v="2"/>
    <n v="3"/>
    <n v="6"/>
    <n v="3"/>
    <n v="1"/>
    <n v="5"/>
  </r>
  <r>
    <x v="28"/>
    <x v="1"/>
    <x v="0"/>
    <n v="1385"/>
    <x v="1"/>
    <n v="20"/>
    <n v="2"/>
    <x v="2"/>
    <x v="0"/>
    <x v="268"/>
    <n v="3"/>
    <x v="1"/>
    <n v="79"/>
    <n v="3"/>
    <n v="4"/>
    <x v="4"/>
    <n v="4"/>
    <x v="1"/>
    <n v="13496"/>
    <n v="7501"/>
    <n v="0"/>
    <s v="Y"/>
    <x v="0"/>
    <n v="14"/>
    <n v="3"/>
    <n v="2"/>
    <n v="80"/>
    <n v="0"/>
    <n v="21"/>
    <n v="2"/>
    <n v="3"/>
    <n v="20"/>
    <n v="7"/>
    <n v="4"/>
    <n v="10"/>
  </r>
  <r>
    <x v="9"/>
    <x v="1"/>
    <x v="0"/>
    <n v="1403"/>
    <x v="1"/>
    <n v="6"/>
    <n v="3"/>
    <x v="0"/>
    <x v="0"/>
    <x v="269"/>
    <n v="4"/>
    <x v="1"/>
    <n v="47"/>
    <n v="3"/>
    <n v="1"/>
    <x v="2"/>
    <n v="4"/>
    <x v="1"/>
    <n v="3210"/>
    <n v="20251"/>
    <n v="0"/>
    <s v="Y"/>
    <x v="1"/>
    <n v="11"/>
    <n v="3"/>
    <n v="3"/>
    <n v="80"/>
    <n v="1"/>
    <n v="16"/>
    <n v="4"/>
    <n v="3"/>
    <n v="15"/>
    <n v="13"/>
    <n v="10"/>
    <n v="11"/>
  </r>
  <r>
    <x v="27"/>
    <x v="1"/>
    <x v="0"/>
    <n v="452"/>
    <x v="1"/>
    <n v="1"/>
    <n v="3"/>
    <x v="2"/>
    <x v="0"/>
    <x v="270"/>
    <n v="4"/>
    <x v="1"/>
    <n v="81"/>
    <n v="3"/>
    <n v="5"/>
    <x v="5"/>
    <n v="1"/>
    <x v="0"/>
    <n v="19045"/>
    <n v="18938"/>
    <n v="0"/>
    <s v="Y"/>
    <x v="0"/>
    <n v="14"/>
    <n v="3"/>
    <n v="3"/>
    <n v="80"/>
    <n v="0"/>
    <n v="37"/>
    <n v="2"/>
    <n v="3"/>
    <n v="36"/>
    <n v="10"/>
    <n v="4"/>
    <n v="13"/>
  </r>
  <r>
    <x v="40"/>
    <x v="0"/>
    <x v="2"/>
    <n v="666"/>
    <x v="1"/>
    <n v="29"/>
    <n v="4"/>
    <x v="0"/>
    <x v="0"/>
    <x v="271"/>
    <n v="1"/>
    <x v="1"/>
    <n v="88"/>
    <n v="3"/>
    <n v="3"/>
    <x v="5"/>
    <n v="2"/>
    <x v="1"/>
    <n v="11849"/>
    <n v="10268"/>
    <n v="1"/>
    <s v="Y"/>
    <x v="0"/>
    <n v="12"/>
    <n v="3"/>
    <n v="4"/>
    <n v="80"/>
    <n v="1"/>
    <n v="10"/>
    <n v="2"/>
    <n v="2"/>
    <n v="10"/>
    <n v="7"/>
    <n v="9"/>
    <n v="9"/>
  </r>
  <r>
    <x v="14"/>
    <x v="1"/>
    <x v="0"/>
    <n v="1158"/>
    <x v="1"/>
    <n v="9"/>
    <n v="3"/>
    <x v="2"/>
    <x v="0"/>
    <x v="272"/>
    <n v="4"/>
    <x v="1"/>
    <n v="94"/>
    <n v="3"/>
    <n v="1"/>
    <x v="1"/>
    <n v="4"/>
    <x v="1"/>
    <n v="2070"/>
    <n v="2613"/>
    <n v="1"/>
    <s v="Y"/>
    <x v="1"/>
    <n v="23"/>
    <n v="4"/>
    <n v="4"/>
    <n v="80"/>
    <n v="1"/>
    <n v="5"/>
    <n v="3"/>
    <n v="2"/>
    <n v="5"/>
    <n v="2"/>
    <n v="0"/>
    <n v="4"/>
  </r>
  <r>
    <x v="2"/>
    <x v="1"/>
    <x v="0"/>
    <n v="228"/>
    <x v="0"/>
    <n v="6"/>
    <n v="4"/>
    <x v="2"/>
    <x v="0"/>
    <x v="273"/>
    <n v="3"/>
    <x v="1"/>
    <n v="98"/>
    <n v="3"/>
    <n v="2"/>
    <x v="0"/>
    <n v="4"/>
    <x v="1"/>
    <n v="6502"/>
    <n v="22825"/>
    <n v="4"/>
    <s v="Y"/>
    <x v="1"/>
    <n v="14"/>
    <n v="3"/>
    <n v="2"/>
    <n v="80"/>
    <n v="1"/>
    <n v="7"/>
    <n v="5"/>
    <n v="4"/>
    <n v="5"/>
    <n v="4"/>
    <n v="0"/>
    <n v="1"/>
  </r>
  <r>
    <x v="18"/>
    <x v="1"/>
    <x v="0"/>
    <n v="996"/>
    <x v="1"/>
    <n v="3"/>
    <n v="2"/>
    <x v="2"/>
    <x v="0"/>
    <x v="274"/>
    <n v="4"/>
    <x v="1"/>
    <n v="100"/>
    <n v="2"/>
    <n v="1"/>
    <x v="1"/>
    <n v="3"/>
    <x v="0"/>
    <n v="3230"/>
    <n v="10531"/>
    <n v="1"/>
    <s v="Y"/>
    <x v="1"/>
    <n v="17"/>
    <n v="3"/>
    <n v="1"/>
    <n v="80"/>
    <n v="0"/>
    <n v="3"/>
    <n v="4"/>
    <n v="4"/>
    <n v="3"/>
    <n v="2"/>
    <n v="1"/>
    <n v="0"/>
  </r>
  <r>
    <x v="2"/>
    <x v="1"/>
    <x v="2"/>
    <n v="728"/>
    <x v="1"/>
    <n v="1"/>
    <n v="4"/>
    <x v="2"/>
    <x v="0"/>
    <x v="275"/>
    <n v="1"/>
    <x v="0"/>
    <n v="80"/>
    <n v="3"/>
    <n v="3"/>
    <x v="7"/>
    <n v="4"/>
    <x v="2"/>
    <n v="13603"/>
    <n v="11677"/>
    <n v="2"/>
    <s v="Y"/>
    <x v="0"/>
    <n v="18"/>
    <n v="3"/>
    <n v="1"/>
    <n v="80"/>
    <n v="2"/>
    <n v="15"/>
    <n v="2"/>
    <n v="3"/>
    <n v="5"/>
    <n v="2"/>
    <n v="0"/>
    <n v="2"/>
  </r>
  <r>
    <x v="10"/>
    <x v="1"/>
    <x v="0"/>
    <n v="1315"/>
    <x v="1"/>
    <n v="22"/>
    <n v="3"/>
    <x v="0"/>
    <x v="0"/>
    <x v="276"/>
    <n v="2"/>
    <x v="0"/>
    <n v="71"/>
    <n v="4"/>
    <n v="3"/>
    <x v="5"/>
    <n v="2"/>
    <x v="2"/>
    <n v="11996"/>
    <n v="19100"/>
    <n v="7"/>
    <s v="Y"/>
    <x v="1"/>
    <n v="18"/>
    <n v="3"/>
    <n v="2"/>
    <n v="80"/>
    <n v="1"/>
    <n v="10"/>
    <n v="6"/>
    <n v="2"/>
    <n v="7"/>
    <n v="7"/>
    <n v="6"/>
    <n v="2"/>
  </r>
  <r>
    <x v="8"/>
    <x v="1"/>
    <x v="0"/>
    <n v="322"/>
    <x v="0"/>
    <n v="7"/>
    <n v="2"/>
    <x v="2"/>
    <x v="0"/>
    <x v="277"/>
    <n v="1"/>
    <x v="0"/>
    <n v="44"/>
    <n v="4"/>
    <n v="2"/>
    <x v="0"/>
    <n v="1"/>
    <x v="2"/>
    <n v="5605"/>
    <n v="19191"/>
    <n v="1"/>
    <s v="Y"/>
    <x v="0"/>
    <n v="24"/>
    <n v="4"/>
    <n v="3"/>
    <n v="80"/>
    <n v="1"/>
    <n v="8"/>
    <n v="3"/>
    <n v="3"/>
    <n v="8"/>
    <n v="0"/>
    <n v="7"/>
    <n v="7"/>
  </r>
  <r>
    <x v="25"/>
    <x v="1"/>
    <x v="1"/>
    <n v="1479"/>
    <x v="1"/>
    <n v="1"/>
    <n v="3"/>
    <x v="0"/>
    <x v="0"/>
    <x v="278"/>
    <n v="3"/>
    <x v="0"/>
    <n v="84"/>
    <n v="3"/>
    <n v="2"/>
    <x v="3"/>
    <n v="2"/>
    <x v="2"/>
    <n v="6397"/>
    <n v="26767"/>
    <n v="1"/>
    <s v="Y"/>
    <x v="1"/>
    <n v="20"/>
    <n v="4"/>
    <n v="1"/>
    <n v="80"/>
    <n v="1"/>
    <n v="6"/>
    <n v="6"/>
    <n v="1"/>
    <n v="6"/>
    <n v="5"/>
    <n v="1"/>
    <n v="4"/>
  </r>
  <r>
    <x v="24"/>
    <x v="1"/>
    <x v="0"/>
    <n v="797"/>
    <x v="1"/>
    <n v="4"/>
    <n v="1"/>
    <x v="0"/>
    <x v="0"/>
    <x v="279"/>
    <n v="1"/>
    <x v="1"/>
    <n v="96"/>
    <n v="3"/>
    <n v="5"/>
    <x v="7"/>
    <n v="2"/>
    <x v="2"/>
    <n v="19144"/>
    <n v="15815"/>
    <n v="3"/>
    <s v="Y"/>
    <x v="1"/>
    <n v="14"/>
    <n v="3"/>
    <n v="1"/>
    <n v="80"/>
    <n v="2"/>
    <n v="28"/>
    <n v="4"/>
    <n v="2"/>
    <n v="10"/>
    <n v="4"/>
    <n v="1"/>
    <n v="6"/>
  </r>
  <r>
    <x v="16"/>
    <x v="1"/>
    <x v="0"/>
    <n v="1070"/>
    <x v="1"/>
    <n v="3"/>
    <n v="4"/>
    <x v="2"/>
    <x v="0"/>
    <x v="280"/>
    <n v="3"/>
    <x v="1"/>
    <n v="45"/>
    <n v="3"/>
    <n v="4"/>
    <x v="7"/>
    <n v="3"/>
    <x v="1"/>
    <n v="17584"/>
    <n v="21016"/>
    <n v="3"/>
    <s v="Y"/>
    <x v="0"/>
    <n v="16"/>
    <n v="3"/>
    <n v="4"/>
    <n v="80"/>
    <n v="3"/>
    <n v="21"/>
    <n v="5"/>
    <n v="2"/>
    <n v="5"/>
    <n v="3"/>
    <n v="1"/>
    <n v="3"/>
  </r>
  <r>
    <x v="19"/>
    <x v="1"/>
    <x v="0"/>
    <n v="635"/>
    <x v="0"/>
    <n v="1"/>
    <n v="1"/>
    <x v="0"/>
    <x v="0"/>
    <x v="281"/>
    <n v="2"/>
    <x v="1"/>
    <n v="99"/>
    <n v="3"/>
    <n v="2"/>
    <x v="0"/>
    <n v="3"/>
    <x v="1"/>
    <n v="4907"/>
    <n v="24532"/>
    <n v="1"/>
    <s v="Y"/>
    <x v="1"/>
    <n v="25"/>
    <n v="4"/>
    <n v="3"/>
    <n v="80"/>
    <n v="0"/>
    <n v="20"/>
    <n v="3"/>
    <n v="3"/>
    <n v="20"/>
    <n v="16"/>
    <n v="11"/>
    <n v="6"/>
  </r>
  <r>
    <x v="11"/>
    <x v="1"/>
    <x v="1"/>
    <n v="442"/>
    <x v="0"/>
    <n v="2"/>
    <n v="2"/>
    <x v="0"/>
    <x v="0"/>
    <x v="282"/>
    <n v="2"/>
    <x v="1"/>
    <n v="44"/>
    <n v="3"/>
    <n v="2"/>
    <x v="0"/>
    <n v="4"/>
    <x v="0"/>
    <n v="4554"/>
    <n v="20260"/>
    <n v="1"/>
    <s v="Y"/>
    <x v="1"/>
    <n v="18"/>
    <n v="3"/>
    <n v="1"/>
    <n v="80"/>
    <n v="0"/>
    <n v="10"/>
    <n v="3"/>
    <n v="2"/>
    <n v="10"/>
    <n v="7"/>
    <n v="0"/>
    <n v="9"/>
  </r>
  <r>
    <x v="27"/>
    <x v="1"/>
    <x v="0"/>
    <n v="147"/>
    <x v="1"/>
    <n v="20"/>
    <n v="2"/>
    <x v="4"/>
    <x v="0"/>
    <x v="283"/>
    <n v="2"/>
    <x v="1"/>
    <n v="37"/>
    <n v="3"/>
    <n v="2"/>
    <x v="2"/>
    <n v="4"/>
    <x v="1"/>
    <n v="5415"/>
    <n v="15972"/>
    <n v="3"/>
    <s v="Y"/>
    <x v="0"/>
    <n v="19"/>
    <n v="3"/>
    <n v="4"/>
    <n v="80"/>
    <n v="1"/>
    <n v="12"/>
    <n v="4"/>
    <n v="3"/>
    <n v="10"/>
    <n v="7"/>
    <n v="0"/>
    <n v="8"/>
  </r>
  <r>
    <x v="25"/>
    <x v="1"/>
    <x v="1"/>
    <n v="496"/>
    <x v="1"/>
    <n v="11"/>
    <n v="2"/>
    <x v="2"/>
    <x v="0"/>
    <x v="284"/>
    <n v="1"/>
    <x v="1"/>
    <n v="60"/>
    <n v="3"/>
    <n v="2"/>
    <x v="4"/>
    <n v="1"/>
    <x v="1"/>
    <n v="4741"/>
    <n v="22722"/>
    <n v="1"/>
    <s v="Y"/>
    <x v="0"/>
    <n v="13"/>
    <n v="3"/>
    <n v="3"/>
    <n v="80"/>
    <n v="1"/>
    <n v="5"/>
    <n v="3"/>
    <n v="3"/>
    <n v="5"/>
    <n v="3"/>
    <n v="3"/>
    <n v="3"/>
  </r>
  <r>
    <x v="2"/>
    <x v="1"/>
    <x v="0"/>
    <n v="1372"/>
    <x v="1"/>
    <n v="1"/>
    <n v="3"/>
    <x v="0"/>
    <x v="0"/>
    <x v="285"/>
    <n v="4"/>
    <x v="0"/>
    <n v="42"/>
    <n v="3"/>
    <n v="1"/>
    <x v="1"/>
    <n v="4"/>
    <x v="0"/>
    <n v="2115"/>
    <n v="15881"/>
    <n v="1"/>
    <s v="Y"/>
    <x v="1"/>
    <n v="12"/>
    <n v="3"/>
    <n v="2"/>
    <n v="80"/>
    <n v="0"/>
    <n v="17"/>
    <n v="3"/>
    <n v="3"/>
    <n v="17"/>
    <n v="12"/>
    <n v="5"/>
    <n v="7"/>
  </r>
  <r>
    <x v="20"/>
    <x v="0"/>
    <x v="1"/>
    <n v="920"/>
    <x v="1"/>
    <n v="24"/>
    <n v="3"/>
    <x v="0"/>
    <x v="0"/>
    <x v="286"/>
    <n v="4"/>
    <x v="1"/>
    <n v="43"/>
    <n v="3"/>
    <n v="1"/>
    <x v="2"/>
    <n v="3"/>
    <x v="2"/>
    <n v="3161"/>
    <n v="19920"/>
    <n v="3"/>
    <s v="Y"/>
    <x v="0"/>
    <n v="22"/>
    <n v="4"/>
    <n v="4"/>
    <n v="80"/>
    <n v="1"/>
    <n v="19"/>
    <n v="0"/>
    <n v="1"/>
    <n v="1"/>
    <n v="0"/>
    <n v="0"/>
    <n v="0"/>
  </r>
  <r>
    <x v="8"/>
    <x v="1"/>
    <x v="0"/>
    <n v="688"/>
    <x v="1"/>
    <n v="23"/>
    <n v="4"/>
    <x v="0"/>
    <x v="0"/>
    <x v="287"/>
    <n v="4"/>
    <x v="1"/>
    <n v="82"/>
    <n v="3"/>
    <n v="2"/>
    <x v="4"/>
    <n v="4"/>
    <x v="2"/>
    <n v="5745"/>
    <n v="18899"/>
    <n v="9"/>
    <s v="Y"/>
    <x v="1"/>
    <n v="14"/>
    <n v="3"/>
    <n v="2"/>
    <n v="80"/>
    <n v="1"/>
    <n v="10"/>
    <n v="2"/>
    <n v="3"/>
    <n v="2"/>
    <n v="2"/>
    <n v="1"/>
    <n v="2"/>
  </r>
  <r>
    <x v="25"/>
    <x v="0"/>
    <x v="0"/>
    <n v="1449"/>
    <x v="1"/>
    <n v="16"/>
    <n v="4"/>
    <x v="2"/>
    <x v="0"/>
    <x v="288"/>
    <n v="1"/>
    <x v="1"/>
    <n v="45"/>
    <n v="3"/>
    <n v="1"/>
    <x v="2"/>
    <n v="2"/>
    <x v="2"/>
    <n v="2373"/>
    <n v="14180"/>
    <n v="2"/>
    <s v="Y"/>
    <x v="0"/>
    <n v="13"/>
    <n v="3"/>
    <n v="4"/>
    <n v="80"/>
    <n v="1"/>
    <n v="5"/>
    <n v="2"/>
    <n v="3"/>
    <n v="3"/>
    <n v="2"/>
    <n v="0"/>
    <n v="2"/>
  </r>
  <r>
    <x v="14"/>
    <x v="1"/>
    <x v="0"/>
    <n v="1117"/>
    <x v="1"/>
    <n v="8"/>
    <n v="2"/>
    <x v="0"/>
    <x v="0"/>
    <x v="289"/>
    <n v="4"/>
    <x v="0"/>
    <n v="66"/>
    <n v="3"/>
    <n v="1"/>
    <x v="1"/>
    <n v="4"/>
    <x v="0"/>
    <n v="3310"/>
    <n v="4488"/>
    <n v="1"/>
    <s v="Y"/>
    <x v="1"/>
    <n v="21"/>
    <n v="4"/>
    <n v="4"/>
    <n v="80"/>
    <n v="0"/>
    <n v="5"/>
    <n v="3"/>
    <n v="3"/>
    <n v="5"/>
    <n v="3"/>
    <n v="0"/>
    <n v="2"/>
  </r>
  <r>
    <x v="1"/>
    <x v="1"/>
    <x v="1"/>
    <n v="636"/>
    <x v="1"/>
    <n v="10"/>
    <n v="4"/>
    <x v="0"/>
    <x v="0"/>
    <x v="290"/>
    <n v="3"/>
    <x v="0"/>
    <n v="35"/>
    <n v="3"/>
    <n v="5"/>
    <x v="7"/>
    <n v="1"/>
    <x v="0"/>
    <n v="18665"/>
    <n v="25594"/>
    <n v="9"/>
    <s v="Y"/>
    <x v="0"/>
    <n v="11"/>
    <n v="3"/>
    <n v="4"/>
    <n v="80"/>
    <n v="0"/>
    <n v="22"/>
    <n v="4"/>
    <n v="3"/>
    <n v="3"/>
    <n v="2"/>
    <n v="1"/>
    <n v="2"/>
  </r>
  <r>
    <x v="9"/>
    <x v="1"/>
    <x v="0"/>
    <n v="506"/>
    <x v="1"/>
    <n v="3"/>
    <n v="3"/>
    <x v="4"/>
    <x v="0"/>
    <x v="291"/>
    <n v="3"/>
    <x v="1"/>
    <n v="30"/>
    <n v="3"/>
    <n v="2"/>
    <x v="1"/>
    <n v="2"/>
    <x v="0"/>
    <n v="4485"/>
    <n v="26285"/>
    <n v="4"/>
    <s v="Y"/>
    <x v="1"/>
    <n v="12"/>
    <n v="3"/>
    <n v="4"/>
    <n v="80"/>
    <n v="0"/>
    <n v="10"/>
    <n v="2"/>
    <n v="3"/>
    <n v="8"/>
    <n v="0"/>
    <n v="7"/>
    <n v="7"/>
  </r>
  <r>
    <x v="12"/>
    <x v="1"/>
    <x v="1"/>
    <n v="444"/>
    <x v="0"/>
    <n v="5"/>
    <n v="3"/>
    <x v="3"/>
    <x v="0"/>
    <x v="292"/>
    <n v="4"/>
    <x v="0"/>
    <n v="84"/>
    <n v="3"/>
    <n v="1"/>
    <x v="6"/>
    <n v="2"/>
    <x v="2"/>
    <n v="2789"/>
    <n v="3909"/>
    <n v="1"/>
    <s v="Y"/>
    <x v="1"/>
    <n v="11"/>
    <n v="3"/>
    <n v="3"/>
    <n v="80"/>
    <n v="1"/>
    <n v="2"/>
    <n v="5"/>
    <n v="2"/>
    <n v="2"/>
    <n v="2"/>
    <n v="2"/>
    <n v="2"/>
  </r>
  <r>
    <x v="25"/>
    <x v="0"/>
    <x v="0"/>
    <n v="950"/>
    <x v="0"/>
    <n v="4"/>
    <n v="4"/>
    <x v="3"/>
    <x v="0"/>
    <x v="293"/>
    <n v="4"/>
    <x v="1"/>
    <n v="48"/>
    <n v="2"/>
    <n v="2"/>
    <x v="0"/>
    <n v="4"/>
    <x v="0"/>
    <n v="5828"/>
    <n v="8450"/>
    <n v="1"/>
    <s v="Y"/>
    <x v="0"/>
    <n v="12"/>
    <n v="3"/>
    <n v="2"/>
    <n v="80"/>
    <n v="0"/>
    <n v="8"/>
    <n v="0"/>
    <n v="3"/>
    <n v="8"/>
    <n v="7"/>
    <n v="7"/>
    <n v="4"/>
  </r>
  <r>
    <x v="2"/>
    <x v="1"/>
    <x v="1"/>
    <n v="889"/>
    <x v="1"/>
    <n v="9"/>
    <n v="3"/>
    <x v="2"/>
    <x v="0"/>
    <x v="294"/>
    <n v="2"/>
    <x v="1"/>
    <n v="53"/>
    <n v="3"/>
    <n v="1"/>
    <x v="1"/>
    <n v="4"/>
    <x v="1"/>
    <n v="2326"/>
    <n v="11411"/>
    <n v="1"/>
    <s v="Y"/>
    <x v="0"/>
    <n v="12"/>
    <n v="3"/>
    <n v="3"/>
    <n v="80"/>
    <n v="3"/>
    <n v="4"/>
    <n v="3"/>
    <n v="2"/>
    <n v="4"/>
    <n v="2"/>
    <n v="1"/>
    <n v="2"/>
  </r>
  <r>
    <x v="19"/>
    <x v="1"/>
    <x v="1"/>
    <n v="555"/>
    <x v="0"/>
    <n v="26"/>
    <n v="3"/>
    <x v="3"/>
    <x v="0"/>
    <x v="295"/>
    <n v="3"/>
    <x v="0"/>
    <n v="77"/>
    <n v="3"/>
    <n v="4"/>
    <x v="0"/>
    <n v="2"/>
    <x v="1"/>
    <n v="13525"/>
    <n v="14864"/>
    <n v="5"/>
    <s v="Y"/>
    <x v="1"/>
    <n v="14"/>
    <n v="3"/>
    <n v="4"/>
    <n v="80"/>
    <n v="1"/>
    <n v="23"/>
    <n v="2"/>
    <n v="4"/>
    <n v="20"/>
    <n v="4"/>
    <n v="4"/>
    <n v="8"/>
  </r>
  <r>
    <x v="41"/>
    <x v="0"/>
    <x v="0"/>
    <n v="230"/>
    <x v="1"/>
    <n v="3"/>
    <n v="3"/>
    <x v="0"/>
    <x v="0"/>
    <x v="296"/>
    <n v="3"/>
    <x v="1"/>
    <n v="54"/>
    <n v="3"/>
    <n v="1"/>
    <x v="2"/>
    <n v="3"/>
    <x v="0"/>
    <n v="1420"/>
    <n v="25233"/>
    <n v="1"/>
    <s v="Y"/>
    <x v="1"/>
    <n v="13"/>
    <n v="3"/>
    <n v="3"/>
    <n v="80"/>
    <n v="0"/>
    <n v="0"/>
    <n v="2"/>
    <n v="3"/>
    <n v="0"/>
    <n v="0"/>
    <n v="0"/>
    <n v="0"/>
  </r>
  <r>
    <x v="10"/>
    <x v="1"/>
    <x v="0"/>
    <n v="1232"/>
    <x v="0"/>
    <n v="16"/>
    <n v="3"/>
    <x v="3"/>
    <x v="0"/>
    <x v="297"/>
    <n v="3"/>
    <x v="1"/>
    <n v="96"/>
    <n v="3"/>
    <n v="3"/>
    <x v="0"/>
    <n v="2"/>
    <x v="1"/>
    <n v="8020"/>
    <n v="5100"/>
    <n v="0"/>
    <s v="Y"/>
    <x v="1"/>
    <n v="15"/>
    <n v="3"/>
    <n v="3"/>
    <n v="80"/>
    <n v="2"/>
    <n v="12"/>
    <n v="3"/>
    <n v="2"/>
    <n v="11"/>
    <n v="9"/>
    <n v="6"/>
    <n v="9"/>
  </r>
  <r>
    <x v="9"/>
    <x v="1"/>
    <x v="1"/>
    <n v="566"/>
    <x v="1"/>
    <n v="18"/>
    <n v="4"/>
    <x v="0"/>
    <x v="0"/>
    <x v="298"/>
    <n v="3"/>
    <x v="1"/>
    <n v="81"/>
    <n v="4"/>
    <n v="1"/>
    <x v="2"/>
    <n v="4"/>
    <x v="1"/>
    <n v="3688"/>
    <n v="7122"/>
    <n v="4"/>
    <s v="Y"/>
    <x v="1"/>
    <n v="18"/>
    <n v="3"/>
    <n v="4"/>
    <n v="80"/>
    <n v="2"/>
    <n v="4"/>
    <n v="2"/>
    <n v="3"/>
    <n v="1"/>
    <n v="0"/>
    <n v="0"/>
    <n v="0"/>
  </r>
  <r>
    <x v="31"/>
    <x v="1"/>
    <x v="0"/>
    <n v="1302"/>
    <x v="1"/>
    <n v="2"/>
    <n v="3"/>
    <x v="2"/>
    <x v="0"/>
    <x v="299"/>
    <n v="4"/>
    <x v="1"/>
    <n v="84"/>
    <n v="1"/>
    <n v="2"/>
    <x v="3"/>
    <n v="2"/>
    <x v="2"/>
    <n v="5482"/>
    <n v="16321"/>
    <n v="5"/>
    <s v="Y"/>
    <x v="1"/>
    <n v="18"/>
    <n v="3"/>
    <n v="4"/>
    <n v="80"/>
    <n v="1"/>
    <n v="13"/>
    <n v="3"/>
    <n v="3"/>
    <n v="4"/>
    <n v="1"/>
    <n v="1"/>
    <n v="2"/>
  </r>
  <r>
    <x v="0"/>
    <x v="1"/>
    <x v="0"/>
    <n v="334"/>
    <x v="0"/>
    <n v="2"/>
    <n v="4"/>
    <x v="0"/>
    <x v="0"/>
    <x v="300"/>
    <n v="4"/>
    <x v="1"/>
    <n v="88"/>
    <n v="3"/>
    <n v="4"/>
    <x v="5"/>
    <n v="2"/>
    <x v="0"/>
    <n v="16015"/>
    <n v="15896"/>
    <n v="1"/>
    <s v="Y"/>
    <x v="1"/>
    <n v="19"/>
    <n v="3"/>
    <n v="2"/>
    <n v="80"/>
    <n v="0"/>
    <n v="22"/>
    <n v="2"/>
    <n v="3"/>
    <n v="22"/>
    <n v="10"/>
    <n v="0"/>
    <n v="4"/>
  </r>
  <r>
    <x v="41"/>
    <x v="1"/>
    <x v="0"/>
    <n v="812"/>
    <x v="0"/>
    <n v="10"/>
    <n v="3"/>
    <x v="2"/>
    <x v="0"/>
    <x v="301"/>
    <n v="4"/>
    <x v="0"/>
    <n v="69"/>
    <n v="2"/>
    <n v="1"/>
    <x v="6"/>
    <n v="3"/>
    <x v="0"/>
    <n v="1200"/>
    <n v="9724"/>
    <n v="1"/>
    <s v="Y"/>
    <x v="1"/>
    <n v="12"/>
    <n v="3"/>
    <n v="1"/>
    <n v="80"/>
    <n v="0"/>
    <n v="0"/>
    <n v="2"/>
    <n v="3"/>
    <n v="0"/>
    <n v="0"/>
    <n v="0"/>
    <n v="0"/>
  </r>
  <r>
    <x v="14"/>
    <x v="1"/>
    <x v="0"/>
    <n v="1476"/>
    <x v="1"/>
    <n v="16"/>
    <n v="2"/>
    <x v="2"/>
    <x v="0"/>
    <x v="302"/>
    <n v="2"/>
    <x v="1"/>
    <n v="68"/>
    <n v="4"/>
    <n v="2"/>
    <x v="4"/>
    <n v="1"/>
    <x v="0"/>
    <n v="5661"/>
    <n v="4824"/>
    <n v="0"/>
    <s v="Y"/>
    <x v="1"/>
    <n v="19"/>
    <n v="3"/>
    <n v="3"/>
    <n v="80"/>
    <n v="0"/>
    <n v="9"/>
    <n v="2"/>
    <n v="3"/>
    <n v="8"/>
    <n v="3"/>
    <n v="0"/>
    <n v="7"/>
  </r>
  <r>
    <x v="12"/>
    <x v="1"/>
    <x v="0"/>
    <n v="218"/>
    <x v="0"/>
    <n v="7"/>
    <n v="3"/>
    <x v="4"/>
    <x v="0"/>
    <x v="303"/>
    <n v="2"/>
    <x v="1"/>
    <n v="100"/>
    <n v="4"/>
    <n v="2"/>
    <x v="0"/>
    <n v="4"/>
    <x v="1"/>
    <n v="6929"/>
    <n v="12241"/>
    <n v="4"/>
    <s v="Y"/>
    <x v="1"/>
    <n v="11"/>
    <n v="3"/>
    <n v="2"/>
    <n v="80"/>
    <n v="1"/>
    <n v="10"/>
    <n v="3"/>
    <n v="2"/>
    <n v="8"/>
    <n v="7"/>
    <n v="7"/>
    <n v="7"/>
  </r>
  <r>
    <x v="22"/>
    <x v="1"/>
    <x v="0"/>
    <n v="1132"/>
    <x v="1"/>
    <n v="1"/>
    <n v="3"/>
    <x v="2"/>
    <x v="0"/>
    <x v="304"/>
    <n v="3"/>
    <x v="1"/>
    <n v="48"/>
    <n v="4"/>
    <n v="3"/>
    <x v="4"/>
    <n v="4"/>
    <x v="2"/>
    <n v="9613"/>
    <n v="10942"/>
    <n v="0"/>
    <s v="Y"/>
    <x v="1"/>
    <n v="17"/>
    <n v="3"/>
    <n v="1"/>
    <n v="80"/>
    <n v="3"/>
    <n v="19"/>
    <n v="5"/>
    <n v="2"/>
    <n v="18"/>
    <n v="10"/>
    <n v="3"/>
    <n v="7"/>
  </r>
  <r>
    <x v="9"/>
    <x v="1"/>
    <x v="2"/>
    <n v="1105"/>
    <x v="1"/>
    <n v="24"/>
    <n v="4"/>
    <x v="0"/>
    <x v="0"/>
    <x v="305"/>
    <n v="2"/>
    <x v="0"/>
    <n v="47"/>
    <n v="3"/>
    <n v="2"/>
    <x v="2"/>
    <n v="2"/>
    <x v="1"/>
    <n v="5674"/>
    <n v="6927"/>
    <n v="7"/>
    <s v="Y"/>
    <x v="1"/>
    <n v="15"/>
    <n v="3"/>
    <n v="3"/>
    <n v="80"/>
    <n v="1"/>
    <n v="11"/>
    <n v="3"/>
    <n v="3"/>
    <n v="9"/>
    <n v="8"/>
    <n v="0"/>
    <n v="8"/>
  </r>
  <r>
    <x v="5"/>
    <x v="1"/>
    <x v="0"/>
    <n v="906"/>
    <x v="0"/>
    <n v="7"/>
    <n v="3"/>
    <x v="0"/>
    <x v="0"/>
    <x v="306"/>
    <n v="4"/>
    <x v="1"/>
    <n v="91"/>
    <n v="2"/>
    <n v="2"/>
    <x v="0"/>
    <n v="3"/>
    <x v="1"/>
    <n v="5484"/>
    <n v="16985"/>
    <n v="1"/>
    <s v="Y"/>
    <x v="1"/>
    <n v="14"/>
    <n v="3"/>
    <n v="3"/>
    <n v="80"/>
    <n v="1"/>
    <n v="13"/>
    <n v="3"/>
    <n v="2"/>
    <n v="13"/>
    <n v="8"/>
    <n v="4"/>
    <n v="8"/>
  </r>
  <r>
    <x v="8"/>
    <x v="1"/>
    <x v="0"/>
    <n v="849"/>
    <x v="1"/>
    <n v="25"/>
    <n v="2"/>
    <x v="0"/>
    <x v="0"/>
    <x v="307"/>
    <n v="1"/>
    <x v="0"/>
    <n v="81"/>
    <n v="2"/>
    <n v="3"/>
    <x v="7"/>
    <n v="2"/>
    <x v="1"/>
    <n v="12061"/>
    <n v="26707"/>
    <n v="3"/>
    <s v="Y"/>
    <x v="1"/>
    <n v="17"/>
    <n v="3"/>
    <n v="3"/>
    <n v="80"/>
    <n v="1"/>
    <n v="19"/>
    <n v="2"/>
    <n v="3"/>
    <n v="10"/>
    <n v="8"/>
    <n v="0"/>
    <n v="1"/>
  </r>
  <r>
    <x v="34"/>
    <x v="1"/>
    <x v="2"/>
    <n v="390"/>
    <x v="1"/>
    <n v="1"/>
    <n v="4"/>
    <x v="0"/>
    <x v="0"/>
    <x v="308"/>
    <n v="4"/>
    <x v="1"/>
    <n v="32"/>
    <n v="1"/>
    <n v="2"/>
    <x v="4"/>
    <n v="3"/>
    <x v="2"/>
    <n v="5660"/>
    <n v="17056"/>
    <n v="2"/>
    <s v="Y"/>
    <x v="0"/>
    <n v="13"/>
    <n v="3"/>
    <n v="4"/>
    <n v="80"/>
    <n v="1"/>
    <n v="12"/>
    <n v="2"/>
    <n v="3"/>
    <n v="5"/>
    <n v="3"/>
    <n v="1"/>
    <n v="2"/>
  </r>
  <r>
    <x v="12"/>
    <x v="1"/>
    <x v="0"/>
    <n v="691"/>
    <x v="1"/>
    <n v="5"/>
    <n v="4"/>
    <x v="4"/>
    <x v="0"/>
    <x v="309"/>
    <n v="3"/>
    <x v="1"/>
    <n v="86"/>
    <n v="3"/>
    <n v="1"/>
    <x v="1"/>
    <n v="4"/>
    <x v="1"/>
    <n v="4821"/>
    <n v="10077"/>
    <n v="0"/>
    <s v="Y"/>
    <x v="0"/>
    <n v="12"/>
    <n v="3"/>
    <n v="3"/>
    <n v="80"/>
    <n v="1"/>
    <n v="6"/>
    <n v="4"/>
    <n v="3"/>
    <n v="5"/>
    <n v="2"/>
    <n v="0"/>
    <n v="3"/>
  </r>
  <r>
    <x v="12"/>
    <x v="1"/>
    <x v="0"/>
    <n v="106"/>
    <x v="2"/>
    <n v="2"/>
    <n v="3"/>
    <x v="5"/>
    <x v="0"/>
    <x v="310"/>
    <n v="1"/>
    <x v="1"/>
    <n v="62"/>
    <n v="2"/>
    <n v="2"/>
    <x v="8"/>
    <n v="1"/>
    <x v="1"/>
    <n v="6410"/>
    <n v="17822"/>
    <n v="3"/>
    <s v="Y"/>
    <x v="1"/>
    <n v="12"/>
    <n v="3"/>
    <n v="4"/>
    <n v="80"/>
    <n v="0"/>
    <n v="9"/>
    <n v="1"/>
    <n v="3"/>
    <n v="2"/>
    <n v="2"/>
    <n v="1"/>
    <n v="0"/>
  </r>
  <r>
    <x v="28"/>
    <x v="1"/>
    <x v="1"/>
    <n v="1249"/>
    <x v="1"/>
    <n v="7"/>
    <n v="3"/>
    <x v="0"/>
    <x v="0"/>
    <x v="311"/>
    <n v="1"/>
    <x v="1"/>
    <n v="97"/>
    <n v="3"/>
    <n v="3"/>
    <x v="2"/>
    <n v="1"/>
    <x v="2"/>
    <n v="5210"/>
    <n v="20308"/>
    <n v="1"/>
    <s v="Y"/>
    <x v="1"/>
    <n v="18"/>
    <n v="3"/>
    <n v="1"/>
    <n v="80"/>
    <n v="1"/>
    <n v="24"/>
    <n v="2"/>
    <n v="3"/>
    <n v="24"/>
    <n v="9"/>
    <n v="9"/>
    <n v="11"/>
  </r>
  <r>
    <x v="12"/>
    <x v="1"/>
    <x v="0"/>
    <n v="192"/>
    <x v="1"/>
    <n v="2"/>
    <n v="4"/>
    <x v="0"/>
    <x v="0"/>
    <x v="312"/>
    <n v="3"/>
    <x v="1"/>
    <n v="32"/>
    <n v="3"/>
    <n v="1"/>
    <x v="1"/>
    <n v="4"/>
    <x v="2"/>
    <n v="2695"/>
    <n v="7747"/>
    <n v="0"/>
    <s v="Y"/>
    <x v="0"/>
    <n v="18"/>
    <n v="3"/>
    <n v="2"/>
    <n v="80"/>
    <n v="1"/>
    <n v="3"/>
    <n v="2"/>
    <n v="1"/>
    <n v="2"/>
    <n v="2"/>
    <n v="2"/>
    <n v="2"/>
  </r>
  <r>
    <x v="3"/>
    <x v="1"/>
    <x v="1"/>
    <n v="553"/>
    <x v="1"/>
    <n v="5"/>
    <n v="4"/>
    <x v="0"/>
    <x v="0"/>
    <x v="313"/>
    <n v="4"/>
    <x v="0"/>
    <n v="74"/>
    <n v="3"/>
    <n v="3"/>
    <x v="5"/>
    <n v="2"/>
    <x v="1"/>
    <n v="11878"/>
    <n v="23364"/>
    <n v="6"/>
    <s v="Y"/>
    <x v="1"/>
    <n v="11"/>
    <n v="3"/>
    <n v="2"/>
    <n v="80"/>
    <n v="2"/>
    <n v="12"/>
    <n v="2"/>
    <n v="3"/>
    <n v="10"/>
    <n v="6"/>
    <n v="8"/>
    <n v="8"/>
  </r>
  <r>
    <x v="22"/>
    <x v="1"/>
    <x v="0"/>
    <n v="117"/>
    <x v="1"/>
    <n v="10"/>
    <n v="1"/>
    <x v="2"/>
    <x v="0"/>
    <x v="314"/>
    <n v="3"/>
    <x v="1"/>
    <n v="99"/>
    <n v="3"/>
    <n v="4"/>
    <x v="5"/>
    <n v="1"/>
    <x v="1"/>
    <n v="17068"/>
    <n v="5355"/>
    <n v="1"/>
    <s v="Y"/>
    <x v="0"/>
    <n v="14"/>
    <n v="3"/>
    <n v="4"/>
    <n v="80"/>
    <n v="0"/>
    <n v="21"/>
    <n v="3"/>
    <n v="3"/>
    <n v="21"/>
    <n v="9"/>
    <n v="11"/>
    <n v="10"/>
  </r>
  <r>
    <x v="23"/>
    <x v="1"/>
    <x v="1"/>
    <n v="185"/>
    <x v="1"/>
    <n v="10"/>
    <n v="4"/>
    <x v="0"/>
    <x v="0"/>
    <x v="315"/>
    <n v="3"/>
    <x v="0"/>
    <n v="33"/>
    <n v="3"/>
    <n v="1"/>
    <x v="2"/>
    <n v="4"/>
    <x v="0"/>
    <n v="2455"/>
    <n v="10675"/>
    <n v="0"/>
    <s v="Y"/>
    <x v="1"/>
    <n v="19"/>
    <n v="3"/>
    <n v="1"/>
    <n v="80"/>
    <n v="0"/>
    <n v="9"/>
    <n v="5"/>
    <n v="3"/>
    <n v="8"/>
    <n v="7"/>
    <n v="1"/>
    <n v="7"/>
  </r>
  <r>
    <x v="1"/>
    <x v="1"/>
    <x v="0"/>
    <n v="1091"/>
    <x v="1"/>
    <n v="1"/>
    <n v="2"/>
    <x v="4"/>
    <x v="0"/>
    <x v="316"/>
    <n v="3"/>
    <x v="0"/>
    <n v="90"/>
    <n v="2"/>
    <n v="4"/>
    <x v="4"/>
    <n v="3"/>
    <x v="0"/>
    <n v="13964"/>
    <n v="17810"/>
    <n v="7"/>
    <s v="Y"/>
    <x v="0"/>
    <n v="12"/>
    <n v="3"/>
    <n v="4"/>
    <n v="80"/>
    <n v="0"/>
    <n v="25"/>
    <n v="2"/>
    <n v="3"/>
    <n v="7"/>
    <n v="1"/>
    <n v="0"/>
    <n v="7"/>
  </r>
  <r>
    <x v="39"/>
    <x v="0"/>
    <x v="0"/>
    <n v="723"/>
    <x v="1"/>
    <n v="8"/>
    <n v="4"/>
    <x v="2"/>
    <x v="0"/>
    <x v="317"/>
    <n v="3"/>
    <x v="1"/>
    <n v="85"/>
    <n v="2"/>
    <n v="2"/>
    <x v="1"/>
    <n v="2"/>
    <x v="1"/>
    <n v="4941"/>
    <n v="17747"/>
    <n v="2"/>
    <s v="Y"/>
    <x v="1"/>
    <n v="15"/>
    <n v="3"/>
    <n v="1"/>
    <n v="80"/>
    <n v="0"/>
    <n v="11"/>
    <n v="3"/>
    <n v="2"/>
    <n v="8"/>
    <n v="2"/>
    <n v="7"/>
    <n v="7"/>
  </r>
  <r>
    <x v="4"/>
    <x v="1"/>
    <x v="0"/>
    <n v="1220"/>
    <x v="1"/>
    <n v="5"/>
    <n v="3"/>
    <x v="0"/>
    <x v="0"/>
    <x v="318"/>
    <n v="3"/>
    <x v="0"/>
    <n v="85"/>
    <n v="3"/>
    <n v="1"/>
    <x v="1"/>
    <n v="2"/>
    <x v="0"/>
    <n v="2478"/>
    <n v="20938"/>
    <n v="1"/>
    <s v="Y"/>
    <x v="0"/>
    <n v="12"/>
    <n v="3"/>
    <n v="2"/>
    <n v="80"/>
    <n v="0"/>
    <n v="4"/>
    <n v="2"/>
    <n v="2"/>
    <n v="4"/>
    <n v="3"/>
    <n v="1"/>
    <n v="2"/>
  </r>
  <r>
    <x v="5"/>
    <x v="1"/>
    <x v="0"/>
    <n v="588"/>
    <x v="0"/>
    <n v="8"/>
    <n v="2"/>
    <x v="4"/>
    <x v="0"/>
    <x v="319"/>
    <n v="3"/>
    <x v="0"/>
    <n v="65"/>
    <n v="2"/>
    <n v="2"/>
    <x v="0"/>
    <n v="2"/>
    <x v="1"/>
    <n v="5228"/>
    <n v="24624"/>
    <n v="1"/>
    <s v="Y"/>
    <x v="0"/>
    <n v="11"/>
    <n v="3"/>
    <n v="4"/>
    <n v="80"/>
    <n v="0"/>
    <n v="13"/>
    <n v="2"/>
    <n v="3"/>
    <n v="13"/>
    <n v="12"/>
    <n v="11"/>
    <n v="9"/>
  </r>
  <r>
    <x v="4"/>
    <x v="1"/>
    <x v="0"/>
    <n v="1377"/>
    <x v="0"/>
    <n v="2"/>
    <n v="3"/>
    <x v="0"/>
    <x v="0"/>
    <x v="320"/>
    <n v="4"/>
    <x v="1"/>
    <n v="74"/>
    <n v="3"/>
    <n v="2"/>
    <x v="0"/>
    <n v="3"/>
    <x v="0"/>
    <n v="4478"/>
    <n v="5242"/>
    <n v="1"/>
    <s v="Y"/>
    <x v="0"/>
    <n v="11"/>
    <n v="3"/>
    <n v="1"/>
    <n v="80"/>
    <n v="0"/>
    <n v="5"/>
    <n v="3"/>
    <n v="3"/>
    <n v="5"/>
    <n v="4"/>
    <n v="0"/>
    <n v="4"/>
  </r>
  <r>
    <x v="12"/>
    <x v="1"/>
    <x v="0"/>
    <n v="691"/>
    <x v="0"/>
    <n v="7"/>
    <n v="3"/>
    <x v="3"/>
    <x v="0"/>
    <x v="321"/>
    <n v="4"/>
    <x v="1"/>
    <n v="73"/>
    <n v="3"/>
    <n v="2"/>
    <x v="0"/>
    <n v="4"/>
    <x v="2"/>
    <n v="7547"/>
    <n v="7143"/>
    <n v="4"/>
    <s v="Y"/>
    <x v="1"/>
    <n v="12"/>
    <n v="3"/>
    <n v="4"/>
    <n v="80"/>
    <n v="3"/>
    <n v="13"/>
    <n v="3"/>
    <n v="3"/>
    <n v="7"/>
    <n v="7"/>
    <n v="1"/>
    <n v="7"/>
  </r>
  <r>
    <x v="5"/>
    <x v="1"/>
    <x v="0"/>
    <n v="1018"/>
    <x v="1"/>
    <n v="2"/>
    <n v="4"/>
    <x v="2"/>
    <x v="0"/>
    <x v="322"/>
    <n v="1"/>
    <x v="0"/>
    <n v="74"/>
    <n v="4"/>
    <n v="2"/>
    <x v="1"/>
    <n v="4"/>
    <x v="0"/>
    <n v="5055"/>
    <n v="10557"/>
    <n v="7"/>
    <s v="Y"/>
    <x v="1"/>
    <n v="16"/>
    <n v="3"/>
    <n v="3"/>
    <n v="80"/>
    <n v="0"/>
    <n v="10"/>
    <n v="0"/>
    <n v="2"/>
    <n v="7"/>
    <n v="7"/>
    <n v="0"/>
    <n v="7"/>
  </r>
  <r>
    <x v="14"/>
    <x v="0"/>
    <x v="0"/>
    <n v="1157"/>
    <x v="1"/>
    <n v="2"/>
    <n v="4"/>
    <x v="2"/>
    <x v="0"/>
    <x v="323"/>
    <n v="1"/>
    <x v="1"/>
    <n v="84"/>
    <n v="1"/>
    <n v="1"/>
    <x v="1"/>
    <n v="4"/>
    <x v="1"/>
    <n v="3464"/>
    <n v="24737"/>
    <n v="5"/>
    <s v="Y"/>
    <x v="0"/>
    <n v="13"/>
    <n v="3"/>
    <n v="4"/>
    <n v="80"/>
    <n v="0"/>
    <n v="5"/>
    <n v="4"/>
    <n v="2"/>
    <n v="3"/>
    <n v="2"/>
    <n v="2"/>
    <n v="2"/>
  </r>
  <r>
    <x v="7"/>
    <x v="1"/>
    <x v="0"/>
    <n v="1275"/>
    <x v="1"/>
    <n v="28"/>
    <n v="2"/>
    <x v="2"/>
    <x v="0"/>
    <x v="324"/>
    <n v="4"/>
    <x v="0"/>
    <n v="64"/>
    <n v="3"/>
    <n v="2"/>
    <x v="1"/>
    <n v="4"/>
    <x v="1"/>
    <n v="5775"/>
    <n v="11934"/>
    <n v="1"/>
    <s v="Y"/>
    <x v="1"/>
    <n v="13"/>
    <n v="3"/>
    <n v="4"/>
    <n v="80"/>
    <n v="2"/>
    <n v="11"/>
    <n v="2"/>
    <n v="3"/>
    <n v="10"/>
    <n v="8"/>
    <n v="1"/>
    <n v="9"/>
  </r>
  <r>
    <x v="12"/>
    <x v="1"/>
    <x v="1"/>
    <n v="798"/>
    <x v="1"/>
    <n v="7"/>
    <n v="2"/>
    <x v="0"/>
    <x v="0"/>
    <x v="325"/>
    <n v="3"/>
    <x v="0"/>
    <n v="48"/>
    <n v="2"/>
    <n v="3"/>
    <x v="3"/>
    <n v="3"/>
    <x v="1"/>
    <n v="8943"/>
    <n v="14034"/>
    <n v="1"/>
    <s v="Y"/>
    <x v="1"/>
    <n v="24"/>
    <n v="4"/>
    <n v="1"/>
    <n v="80"/>
    <n v="1"/>
    <n v="10"/>
    <n v="2"/>
    <n v="3"/>
    <n v="10"/>
    <n v="9"/>
    <n v="8"/>
    <n v="9"/>
  </r>
  <r>
    <x v="22"/>
    <x v="1"/>
    <x v="1"/>
    <n v="672"/>
    <x v="1"/>
    <n v="7"/>
    <n v="2"/>
    <x v="2"/>
    <x v="0"/>
    <x v="326"/>
    <n v="3"/>
    <x v="1"/>
    <n v="54"/>
    <n v="2"/>
    <n v="5"/>
    <x v="5"/>
    <n v="4"/>
    <x v="1"/>
    <n v="19272"/>
    <n v="21141"/>
    <n v="1"/>
    <s v="Y"/>
    <x v="1"/>
    <n v="15"/>
    <n v="3"/>
    <n v="1"/>
    <n v="80"/>
    <n v="1"/>
    <n v="21"/>
    <n v="2"/>
    <n v="3"/>
    <n v="21"/>
    <n v="9"/>
    <n v="13"/>
    <n v="3"/>
  </r>
  <r>
    <x v="22"/>
    <x v="0"/>
    <x v="0"/>
    <n v="1162"/>
    <x v="0"/>
    <n v="3"/>
    <n v="2"/>
    <x v="2"/>
    <x v="0"/>
    <x v="327"/>
    <n v="4"/>
    <x v="0"/>
    <n v="41"/>
    <n v="3"/>
    <n v="2"/>
    <x v="0"/>
    <n v="3"/>
    <x v="1"/>
    <n v="5238"/>
    <n v="17778"/>
    <n v="4"/>
    <s v="Y"/>
    <x v="0"/>
    <n v="18"/>
    <n v="3"/>
    <n v="1"/>
    <n v="80"/>
    <n v="0"/>
    <n v="12"/>
    <n v="3"/>
    <n v="2"/>
    <n v="1"/>
    <n v="0"/>
    <n v="0"/>
    <n v="0"/>
  </r>
  <r>
    <x v="3"/>
    <x v="1"/>
    <x v="1"/>
    <n v="508"/>
    <x v="0"/>
    <n v="10"/>
    <n v="3"/>
    <x v="3"/>
    <x v="0"/>
    <x v="328"/>
    <n v="2"/>
    <x v="1"/>
    <n v="46"/>
    <n v="2"/>
    <n v="2"/>
    <x v="0"/>
    <n v="4"/>
    <x v="0"/>
    <n v="4682"/>
    <n v="4317"/>
    <n v="3"/>
    <s v="Y"/>
    <x v="1"/>
    <n v="14"/>
    <n v="3"/>
    <n v="3"/>
    <n v="80"/>
    <n v="0"/>
    <n v="9"/>
    <n v="6"/>
    <n v="2"/>
    <n v="7"/>
    <n v="7"/>
    <n v="0"/>
    <n v="1"/>
  </r>
  <r>
    <x v="40"/>
    <x v="1"/>
    <x v="0"/>
    <n v="1482"/>
    <x v="1"/>
    <n v="5"/>
    <n v="5"/>
    <x v="0"/>
    <x v="0"/>
    <x v="329"/>
    <n v="4"/>
    <x v="1"/>
    <n v="42"/>
    <n v="3"/>
    <n v="5"/>
    <x v="7"/>
    <n v="3"/>
    <x v="1"/>
    <n v="18300"/>
    <n v="16375"/>
    <n v="4"/>
    <s v="Y"/>
    <x v="1"/>
    <n v="11"/>
    <n v="3"/>
    <n v="2"/>
    <n v="80"/>
    <n v="1"/>
    <n v="21"/>
    <n v="2"/>
    <n v="3"/>
    <n v="3"/>
    <n v="2"/>
    <n v="1"/>
    <n v="1"/>
  </r>
  <r>
    <x v="23"/>
    <x v="1"/>
    <x v="1"/>
    <n v="559"/>
    <x v="1"/>
    <n v="10"/>
    <n v="4"/>
    <x v="0"/>
    <x v="0"/>
    <x v="330"/>
    <n v="3"/>
    <x v="0"/>
    <n v="82"/>
    <n v="2"/>
    <n v="2"/>
    <x v="2"/>
    <n v="3"/>
    <x v="2"/>
    <n v="5257"/>
    <n v="6227"/>
    <n v="1"/>
    <s v="Y"/>
    <x v="1"/>
    <n v="11"/>
    <n v="3"/>
    <n v="2"/>
    <n v="80"/>
    <n v="1"/>
    <n v="9"/>
    <n v="3"/>
    <n v="4"/>
    <n v="9"/>
    <n v="7"/>
    <n v="0"/>
    <n v="0"/>
  </r>
  <r>
    <x v="4"/>
    <x v="1"/>
    <x v="2"/>
    <n v="210"/>
    <x v="0"/>
    <n v="1"/>
    <n v="1"/>
    <x v="3"/>
    <x v="0"/>
    <x v="331"/>
    <n v="3"/>
    <x v="1"/>
    <n v="73"/>
    <n v="3"/>
    <n v="2"/>
    <x v="0"/>
    <n v="2"/>
    <x v="1"/>
    <n v="6349"/>
    <n v="22107"/>
    <n v="0"/>
    <s v="Y"/>
    <x v="0"/>
    <n v="13"/>
    <n v="3"/>
    <n v="4"/>
    <n v="80"/>
    <n v="1"/>
    <n v="6"/>
    <n v="0"/>
    <n v="3"/>
    <n v="5"/>
    <n v="4"/>
    <n v="1"/>
    <n v="4"/>
  </r>
  <r>
    <x v="33"/>
    <x v="1"/>
    <x v="1"/>
    <n v="928"/>
    <x v="1"/>
    <n v="20"/>
    <n v="4"/>
    <x v="0"/>
    <x v="0"/>
    <x v="332"/>
    <n v="4"/>
    <x v="0"/>
    <n v="31"/>
    <n v="3"/>
    <n v="2"/>
    <x v="1"/>
    <n v="3"/>
    <x v="0"/>
    <n v="4869"/>
    <n v="16885"/>
    <n v="3"/>
    <s v="Y"/>
    <x v="1"/>
    <n v="12"/>
    <n v="3"/>
    <n v="4"/>
    <n v="80"/>
    <n v="0"/>
    <n v="20"/>
    <n v="4"/>
    <n v="2"/>
    <n v="4"/>
    <n v="3"/>
    <n v="0"/>
    <n v="3"/>
  </r>
  <r>
    <x v="23"/>
    <x v="1"/>
    <x v="0"/>
    <n v="1001"/>
    <x v="1"/>
    <n v="7"/>
    <n v="3"/>
    <x v="0"/>
    <x v="0"/>
    <x v="333"/>
    <n v="3"/>
    <x v="0"/>
    <n v="43"/>
    <n v="3"/>
    <n v="3"/>
    <x v="4"/>
    <n v="1"/>
    <x v="1"/>
    <n v="9985"/>
    <n v="9262"/>
    <n v="8"/>
    <s v="Y"/>
    <x v="1"/>
    <n v="16"/>
    <n v="3"/>
    <n v="1"/>
    <n v="80"/>
    <n v="1"/>
    <n v="10"/>
    <n v="1"/>
    <n v="2"/>
    <n v="1"/>
    <n v="0"/>
    <n v="0"/>
    <n v="0"/>
  </r>
  <r>
    <x v="28"/>
    <x v="1"/>
    <x v="0"/>
    <n v="549"/>
    <x v="1"/>
    <n v="8"/>
    <n v="4"/>
    <x v="1"/>
    <x v="0"/>
    <x v="334"/>
    <n v="4"/>
    <x v="1"/>
    <n v="75"/>
    <n v="3"/>
    <n v="2"/>
    <x v="1"/>
    <n v="4"/>
    <x v="1"/>
    <n v="3697"/>
    <n v="9278"/>
    <n v="9"/>
    <s v="Y"/>
    <x v="1"/>
    <n v="14"/>
    <n v="3"/>
    <n v="1"/>
    <n v="80"/>
    <n v="2"/>
    <n v="12"/>
    <n v="3"/>
    <n v="3"/>
    <n v="10"/>
    <n v="9"/>
    <n v="9"/>
    <n v="8"/>
  </r>
  <r>
    <x v="32"/>
    <x v="1"/>
    <x v="0"/>
    <n v="1124"/>
    <x v="0"/>
    <n v="1"/>
    <n v="2"/>
    <x v="2"/>
    <x v="0"/>
    <x v="335"/>
    <n v="2"/>
    <x v="1"/>
    <n v="57"/>
    <n v="1"/>
    <n v="2"/>
    <x v="0"/>
    <n v="4"/>
    <x v="1"/>
    <n v="7457"/>
    <n v="13273"/>
    <n v="2"/>
    <s v="Y"/>
    <x v="0"/>
    <n v="22"/>
    <n v="4"/>
    <n v="3"/>
    <n v="80"/>
    <n v="3"/>
    <n v="6"/>
    <n v="2"/>
    <n v="2"/>
    <n v="4"/>
    <n v="3"/>
    <n v="0"/>
    <n v="2"/>
  </r>
  <r>
    <x v="11"/>
    <x v="0"/>
    <x v="0"/>
    <n v="318"/>
    <x v="1"/>
    <n v="8"/>
    <n v="4"/>
    <x v="1"/>
    <x v="0"/>
    <x v="336"/>
    <n v="2"/>
    <x v="1"/>
    <n v="77"/>
    <n v="1"/>
    <n v="1"/>
    <x v="2"/>
    <n v="1"/>
    <x v="1"/>
    <n v="2119"/>
    <n v="4759"/>
    <n v="1"/>
    <s v="Y"/>
    <x v="0"/>
    <n v="11"/>
    <n v="3"/>
    <n v="4"/>
    <n v="80"/>
    <n v="0"/>
    <n v="7"/>
    <n v="4"/>
    <n v="2"/>
    <n v="7"/>
    <n v="7"/>
    <n v="0"/>
    <n v="7"/>
  </r>
  <r>
    <x v="11"/>
    <x v="1"/>
    <x v="0"/>
    <n v="738"/>
    <x v="1"/>
    <n v="9"/>
    <n v="5"/>
    <x v="1"/>
    <x v="0"/>
    <x v="337"/>
    <n v="2"/>
    <x v="1"/>
    <n v="30"/>
    <n v="2"/>
    <n v="1"/>
    <x v="2"/>
    <n v="4"/>
    <x v="0"/>
    <n v="3983"/>
    <n v="7621"/>
    <n v="0"/>
    <s v="Y"/>
    <x v="1"/>
    <n v="17"/>
    <n v="3"/>
    <n v="3"/>
    <n v="80"/>
    <n v="0"/>
    <n v="4"/>
    <n v="2"/>
    <n v="3"/>
    <n v="3"/>
    <n v="2"/>
    <n v="2"/>
    <n v="2"/>
  </r>
  <r>
    <x v="7"/>
    <x v="1"/>
    <x v="0"/>
    <n v="570"/>
    <x v="0"/>
    <n v="5"/>
    <n v="3"/>
    <x v="3"/>
    <x v="0"/>
    <x v="338"/>
    <n v="4"/>
    <x v="0"/>
    <n v="30"/>
    <n v="2"/>
    <n v="2"/>
    <x v="0"/>
    <n v="3"/>
    <x v="2"/>
    <n v="6118"/>
    <n v="5431"/>
    <n v="1"/>
    <s v="Y"/>
    <x v="1"/>
    <n v="13"/>
    <n v="3"/>
    <n v="3"/>
    <n v="80"/>
    <n v="3"/>
    <n v="10"/>
    <n v="2"/>
    <n v="3"/>
    <n v="10"/>
    <n v="9"/>
    <n v="1"/>
    <n v="2"/>
  </r>
  <r>
    <x v="4"/>
    <x v="1"/>
    <x v="0"/>
    <n v="1130"/>
    <x v="0"/>
    <n v="8"/>
    <n v="4"/>
    <x v="3"/>
    <x v="0"/>
    <x v="339"/>
    <n v="2"/>
    <x v="0"/>
    <n v="56"/>
    <n v="3"/>
    <n v="2"/>
    <x v="0"/>
    <n v="2"/>
    <x v="1"/>
    <n v="6214"/>
    <n v="3415"/>
    <n v="1"/>
    <s v="Y"/>
    <x v="1"/>
    <n v="18"/>
    <n v="3"/>
    <n v="1"/>
    <n v="80"/>
    <n v="1"/>
    <n v="8"/>
    <n v="3"/>
    <n v="3"/>
    <n v="8"/>
    <n v="7"/>
    <n v="0"/>
    <n v="7"/>
  </r>
  <r>
    <x v="2"/>
    <x v="1"/>
    <x v="0"/>
    <n v="1192"/>
    <x v="1"/>
    <n v="5"/>
    <n v="2"/>
    <x v="2"/>
    <x v="0"/>
    <x v="340"/>
    <n v="4"/>
    <x v="1"/>
    <n v="61"/>
    <n v="3"/>
    <n v="2"/>
    <x v="3"/>
    <n v="4"/>
    <x v="2"/>
    <n v="6347"/>
    <n v="23177"/>
    <n v="7"/>
    <s v="Y"/>
    <x v="1"/>
    <n v="16"/>
    <n v="3"/>
    <n v="3"/>
    <n v="80"/>
    <n v="2"/>
    <n v="8"/>
    <n v="2"/>
    <n v="2"/>
    <n v="6"/>
    <n v="2"/>
    <n v="0"/>
    <n v="4"/>
  </r>
  <r>
    <x v="8"/>
    <x v="1"/>
    <x v="0"/>
    <n v="343"/>
    <x v="1"/>
    <n v="15"/>
    <n v="2"/>
    <x v="0"/>
    <x v="0"/>
    <x v="341"/>
    <n v="3"/>
    <x v="1"/>
    <n v="92"/>
    <n v="2"/>
    <n v="3"/>
    <x v="7"/>
    <n v="4"/>
    <x v="2"/>
    <n v="11510"/>
    <n v="15682"/>
    <n v="0"/>
    <s v="Y"/>
    <x v="0"/>
    <n v="14"/>
    <n v="3"/>
    <n v="2"/>
    <n v="80"/>
    <n v="1"/>
    <n v="12"/>
    <n v="3"/>
    <n v="3"/>
    <n v="11"/>
    <n v="10"/>
    <n v="2"/>
    <n v="9"/>
  </r>
  <r>
    <x v="12"/>
    <x v="1"/>
    <x v="0"/>
    <n v="1232"/>
    <x v="1"/>
    <n v="7"/>
    <n v="4"/>
    <x v="2"/>
    <x v="0"/>
    <x v="342"/>
    <n v="3"/>
    <x v="0"/>
    <n v="39"/>
    <n v="3"/>
    <n v="3"/>
    <x v="3"/>
    <n v="4"/>
    <x v="0"/>
    <n v="7143"/>
    <n v="25713"/>
    <n v="1"/>
    <s v="Y"/>
    <x v="0"/>
    <n v="14"/>
    <n v="3"/>
    <n v="3"/>
    <n v="80"/>
    <n v="0"/>
    <n v="11"/>
    <n v="2"/>
    <n v="2"/>
    <n v="11"/>
    <n v="9"/>
    <n v="4"/>
    <n v="10"/>
  </r>
  <r>
    <x v="11"/>
    <x v="1"/>
    <x v="0"/>
    <n v="144"/>
    <x v="0"/>
    <n v="10"/>
    <n v="1"/>
    <x v="3"/>
    <x v="0"/>
    <x v="343"/>
    <n v="4"/>
    <x v="0"/>
    <n v="39"/>
    <n v="2"/>
    <n v="2"/>
    <x v="0"/>
    <n v="2"/>
    <x v="2"/>
    <n v="8268"/>
    <n v="11866"/>
    <n v="1"/>
    <s v="Y"/>
    <x v="0"/>
    <n v="14"/>
    <n v="3"/>
    <n v="1"/>
    <n v="80"/>
    <n v="2"/>
    <n v="7"/>
    <n v="2"/>
    <n v="3"/>
    <n v="7"/>
    <n v="7"/>
    <n v="1"/>
    <n v="7"/>
  </r>
  <r>
    <x v="10"/>
    <x v="1"/>
    <x v="0"/>
    <n v="1296"/>
    <x v="1"/>
    <n v="5"/>
    <n v="4"/>
    <x v="4"/>
    <x v="0"/>
    <x v="344"/>
    <n v="3"/>
    <x v="1"/>
    <n v="62"/>
    <n v="3"/>
    <n v="3"/>
    <x v="3"/>
    <n v="2"/>
    <x v="0"/>
    <n v="8095"/>
    <n v="18264"/>
    <n v="0"/>
    <s v="Y"/>
    <x v="1"/>
    <n v="13"/>
    <n v="3"/>
    <n v="4"/>
    <n v="80"/>
    <n v="0"/>
    <n v="17"/>
    <n v="5"/>
    <n v="3"/>
    <n v="16"/>
    <n v="6"/>
    <n v="0"/>
    <n v="13"/>
  </r>
  <r>
    <x v="30"/>
    <x v="1"/>
    <x v="0"/>
    <n v="1309"/>
    <x v="1"/>
    <n v="26"/>
    <n v="1"/>
    <x v="0"/>
    <x v="0"/>
    <x v="345"/>
    <n v="3"/>
    <x v="1"/>
    <n v="83"/>
    <n v="3"/>
    <n v="1"/>
    <x v="1"/>
    <n v="4"/>
    <x v="2"/>
    <n v="2904"/>
    <n v="16092"/>
    <n v="1"/>
    <s v="Y"/>
    <x v="1"/>
    <n v="12"/>
    <n v="3"/>
    <n v="3"/>
    <n v="80"/>
    <n v="2"/>
    <n v="4"/>
    <n v="2"/>
    <n v="2"/>
    <n v="4"/>
    <n v="2"/>
    <n v="0"/>
    <n v="2"/>
  </r>
  <r>
    <x v="0"/>
    <x v="1"/>
    <x v="0"/>
    <n v="483"/>
    <x v="1"/>
    <n v="6"/>
    <n v="3"/>
    <x v="2"/>
    <x v="0"/>
    <x v="346"/>
    <n v="4"/>
    <x v="1"/>
    <n v="95"/>
    <n v="2"/>
    <n v="2"/>
    <x v="3"/>
    <n v="2"/>
    <x v="0"/>
    <n v="6032"/>
    <n v="10110"/>
    <n v="6"/>
    <s v="Y"/>
    <x v="0"/>
    <n v="15"/>
    <n v="3"/>
    <n v="4"/>
    <n v="80"/>
    <n v="0"/>
    <n v="8"/>
    <n v="3"/>
    <n v="3"/>
    <n v="5"/>
    <n v="4"/>
    <n v="1"/>
    <n v="2"/>
  </r>
  <r>
    <x v="40"/>
    <x v="1"/>
    <x v="1"/>
    <n v="1309"/>
    <x v="0"/>
    <n v="4"/>
    <n v="1"/>
    <x v="2"/>
    <x v="0"/>
    <x v="347"/>
    <n v="2"/>
    <x v="1"/>
    <n v="99"/>
    <n v="3"/>
    <n v="2"/>
    <x v="6"/>
    <n v="3"/>
    <x v="0"/>
    <n v="2976"/>
    <n v="25751"/>
    <n v="3"/>
    <s v="Y"/>
    <x v="1"/>
    <n v="19"/>
    <n v="3"/>
    <n v="1"/>
    <n v="80"/>
    <n v="0"/>
    <n v="5"/>
    <n v="3"/>
    <n v="3"/>
    <n v="0"/>
    <n v="0"/>
    <n v="0"/>
    <n v="0"/>
  </r>
  <r>
    <x v="19"/>
    <x v="1"/>
    <x v="0"/>
    <n v="810"/>
    <x v="1"/>
    <n v="23"/>
    <n v="5"/>
    <x v="0"/>
    <x v="0"/>
    <x v="348"/>
    <n v="1"/>
    <x v="0"/>
    <n v="44"/>
    <n v="3"/>
    <n v="4"/>
    <x v="7"/>
    <n v="4"/>
    <x v="0"/>
    <n v="15992"/>
    <n v="15901"/>
    <n v="2"/>
    <s v="Y"/>
    <x v="1"/>
    <n v="14"/>
    <n v="3"/>
    <n v="2"/>
    <n v="80"/>
    <n v="0"/>
    <n v="16"/>
    <n v="2"/>
    <n v="3"/>
    <n v="1"/>
    <n v="0"/>
    <n v="0"/>
    <n v="0"/>
  </r>
  <r>
    <x v="11"/>
    <x v="1"/>
    <x v="2"/>
    <n v="746"/>
    <x v="0"/>
    <n v="2"/>
    <n v="3"/>
    <x v="0"/>
    <x v="0"/>
    <x v="349"/>
    <n v="4"/>
    <x v="1"/>
    <n v="61"/>
    <n v="3"/>
    <n v="2"/>
    <x v="0"/>
    <n v="3"/>
    <x v="1"/>
    <n v="4649"/>
    <n v="16928"/>
    <n v="1"/>
    <s v="Y"/>
    <x v="1"/>
    <n v="14"/>
    <n v="3"/>
    <n v="1"/>
    <n v="80"/>
    <n v="1"/>
    <n v="4"/>
    <n v="3"/>
    <n v="2"/>
    <n v="4"/>
    <n v="3"/>
    <n v="0"/>
    <n v="2"/>
  </r>
  <r>
    <x v="19"/>
    <x v="1"/>
    <x v="0"/>
    <n v="544"/>
    <x v="2"/>
    <n v="2"/>
    <n v="1"/>
    <x v="4"/>
    <x v="0"/>
    <x v="350"/>
    <n v="3"/>
    <x v="1"/>
    <n v="52"/>
    <n v="3"/>
    <n v="1"/>
    <x v="8"/>
    <n v="3"/>
    <x v="2"/>
    <n v="2696"/>
    <n v="24017"/>
    <n v="0"/>
    <s v="Y"/>
    <x v="0"/>
    <n v="11"/>
    <n v="3"/>
    <n v="3"/>
    <n v="80"/>
    <n v="1"/>
    <n v="4"/>
    <n v="5"/>
    <n v="3"/>
    <n v="3"/>
    <n v="2"/>
    <n v="1"/>
    <n v="0"/>
  </r>
  <r>
    <x v="5"/>
    <x v="1"/>
    <x v="0"/>
    <n v="1062"/>
    <x v="1"/>
    <n v="2"/>
    <n v="3"/>
    <x v="2"/>
    <x v="0"/>
    <x v="351"/>
    <n v="3"/>
    <x v="0"/>
    <n v="75"/>
    <n v="3"/>
    <n v="1"/>
    <x v="2"/>
    <n v="2"/>
    <x v="1"/>
    <n v="2370"/>
    <n v="3956"/>
    <n v="1"/>
    <s v="Y"/>
    <x v="1"/>
    <n v="13"/>
    <n v="3"/>
    <n v="3"/>
    <n v="80"/>
    <n v="1"/>
    <n v="8"/>
    <n v="4"/>
    <n v="3"/>
    <n v="8"/>
    <n v="0"/>
    <n v="0"/>
    <n v="7"/>
  </r>
  <r>
    <x v="26"/>
    <x v="1"/>
    <x v="0"/>
    <n v="530"/>
    <x v="0"/>
    <n v="29"/>
    <n v="1"/>
    <x v="2"/>
    <x v="0"/>
    <x v="352"/>
    <n v="1"/>
    <x v="0"/>
    <n v="91"/>
    <n v="3"/>
    <n v="3"/>
    <x v="5"/>
    <n v="3"/>
    <x v="1"/>
    <n v="12504"/>
    <n v="23978"/>
    <n v="3"/>
    <s v="Y"/>
    <x v="1"/>
    <n v="21"/>
    <n v="4"/>
    <n v="2"/>
    <n v="80"/>
    <n v="1"/>
    <n v="15"/>
    <n v="3"/>
    <n v="1"/>
    <n v="0"/>
    <n v="0"/>
    <n v="0"/>
    <n v="0"/>
  </r>
  <r>
    <x v="2"/>
    <x v="1"/>
    <x v="0"/>
    <n v="1319"/>
    <x v="1"/>
    <n v="6"/>
    <n v="3"/>
    <x v="2"/>
    <x v="0"/>
    <x v="353"/>
    <n v="3"/>
    <x v="1"/>
    <n v="51"/>
    <n v="4"/>
    <n v="2"/>
    <x v="1"/>
    <n v="1"/>
    <x v="2"/>
    <n v="5974"/>
    <n v="17001"/>
    <n v="4"/>
    <s v="Y"/>
    <x v="0"/>
    <n v="13"/>
    <n v="3"/>
    <n v="1"/>
    <n v="80"/>
    <n v="2"/>
    <n v="13"/>
    <n v="2"/>
    <n v="3"/>
    <n v="7"/>
    <n v="7"/>
    <n v="6"/>
    <n v="7"/>
  </r>
  <r>
    <x v="7"/>
    <x v="1"/>
    <x v="2"/>
    <n v="641"/>
    <x v="0"/>
    <n v="25"/>
    <n v="2"/>
    <x v="4"/>
    <x v="0"/>
    <x v="354"/>
    <n v="4"/>
    <x v="0"/>
    <n v="85"/>
    <n v="3"/>
    <n v="2"/>
    <x v="0"/>
    <n v="3"/>
    <x v="1"/>
    <n v="4736"/>
    <n v="6069"/>
    <n v="7"/>
    <s v="Y"/>
    <x v="0"/>
    <n v="12"/>
    <n v="3"/>
    <n v="2"/>
    <n v="80"/>
    <n v="1"/>
    <n v="4"/>
    <n v="2"/>
    <n v="4"/>
    <n v="2"/>
    <n v="2"/>
    <n v="2"/>
    <n v="2"/>
  </r>
  <r>
    <x v="25"/>
    <x v="1"/>
    <x v="0"/>
    <n v="933"/>
    <x v="0"/>
    <n v="1"/>
    <n v="3"/>
    <x v="0"/>
    <x v="0"/>
    <x v="355"/>
    <n v="3"/>
    <x v="1"/>
    <n v="57"/>
    <n v="3"/>
    <n v="2"/>
    <x v="0"/>
    <n v="3"/>
    <x v="1"/>
    <n v="5296"/>
    <n v="20156"/>
    <n v="1"/>
    <s v="Y"/>
    <x v="1"/>
    <n v="17"/>
    <n v="3"/>
    <n v="2"/>
    <n v="80"/>
    <n v="1"/>
    <n v="8"/>
    <n v="3"/>
    <n v="3"/>
    <n v="8"/>
    <n v="7"/>
    <n v="7"/>
    <n v="7"/>
  </r>
  <r>
    <x v="19"/>
    <x v="1"/>
    <x v="0"/>
    <n v="1332"/>
    <x v="1"/>
    <n v="2"/>
    <n v="4"/>
    <x v="1"/>
    <x v="0"/>
    <x v="356"/>
    <n v="1"/>
    <x v="1"/>
    <n v="98"/>
    <n v="2"/>
    <n v="2"/>
    <x v="4"/>
    <n v="4"/>
    <x v="0"/>
    <n v="6781"/>
    <n v="17078"/>
    <n v="3"/>
    <s v="Y"/>
    <x v="1"/>
    <n v="23"/>
    <n v="4"/>
    <n v="2"/>
    <n v="80"/>
    <n v="0"/>
    <n v="14"/>
    <n v="6"/>
    <n v="3"/>
    <n v="1"/>
    <n v="0"/>
    <n v="0"/>
    <n v="0"/>
  </r>
  <r>
    <x v="18"/>
    <x v="0"/>
    <x v="1"/>
    <n v="756"/>
    <x v="0"/>
    <n v="1"/>
    <n v="1"/>
    <x v="4"/>
    <x v="0"/>
    <x v="357"/>
    <n v="1"/>
    <x v="0"/>
    <n v="99"/>
    <n v="2"/>
    <n v="1"/>
    <x v="6"/>
    <n v="2"/>
    <x v="0"/>
    <n v="2174"/>
    <n v="9150"/>
    <n v="1"/>
    <s v="Y"/>
    <x v="0"/>
    <n v="11"/>
    <n v="3"/>
    <n v="3"/>
    <n v="80"/>
    <n v="0"/>
    <n v="3"/>
    <n v="3"/>
    <n v="3"/>
    <n v="3"/>
    <n v="2"/>
    <n v="1"/>
    <n v="2"/>
  </r>
  <r>
    <x v="9"/>
    <x v="1"/>
    <x v="2"/>
    <n v="845"/>
    <x v="0"/>
    <n v="1"/>
    <n v="5"/>
    <x v="2"/>
    <x v="0"/>
    <x v="358"/>
    <n v="4"/>
    <x v="0"/>
    <n v="45"/>
    <n v="3"/>
    <n v="2"/>
    <x v="0"/>
    <n v="4"/>
    <x v="0"/>
    <n v="6653"/>
    <n v="15276"/>
    <n v="4"/>
    <s v="Y"/>
    <x v="1"/>
    <n v="15"/>
    <n v="3"/>
    <n v="2"/>
    <n v="80"/>
    <n v="0"/>
    <n v="7"/>
    <n v="6"/>
    <n v="3"/>
    <n v="1"/>
    <n v="0"/>
    <n v="0"/>
    <n v="0"/>
  </r>
  <r>
    <x v="9"/>
    <x v="1"/>
    <x v="1"/>
    <n v="541"/>
    <x v="0"/>
    <n v="3"/>
    <n v="4"/>
    <x v="2"/>
    <x v="0"/>
    <x v="359"/>
    <n v="1"/>
    <x v="1"/>
    <n v="48"/>
    <n v="2"/>
    <n v="3"/>
    <x v="0"/>
    <n v="4"/>
    <x v="1"/>
    <n v="9699"/>
    <n v="7246"/>
    <n v="4"/>
    <s v="Y"/>
    <x v="1"/>
    <n v="11"/>
    <n v="3"/>
    <n v="1"/>
    <n v="80"/>
    <n v="1"/>
    <n v="16"/>
    <n v="2"/>
    <n v="3"/>
    <n v="13"/>
    <n v="9"/>
    <n v="1"/>
    <n v="12"/>
  </r>
  <r>
    <x v="38"/>
    <x v="1"/>
    <x v="0"/>
    <n v="593"/>
    <x v="1"/>
    <n v="1"/>
    <n v="4"/>
    <x v="2"/>
    <x v="0"/>
    <x v="360"/>
    <n v="4"/>
    <x v="1"/>
    <n v="88"/>
    <n v="3"/>
    <n v="2"/>
    <x v="4"/>
    <n v="3"/>
    <x v="1"/>
    <n v="6755"/>
    <n v="2967"/>
    <n v="2"/>
    <s v="Y"/>
    <x v="1"/>
    <n v="11"/>
    <n v="3"/>
    <n v="3"/>
    <n v="80"/>
    <n v="0"/>
    <n v="15"/>
    <n v="2"/>
    <n v="3"/>
    <n v="3"/>
    <n v="2"/>
    <n v="1"/>
    <n v="2"/>
  </r>
  <r>
    <x v="32"/>
    <x v="1"/>
    <x v="0"/>
    <n v="1171"/>
    <x v="1"/>
    <n v="10"/>
    <n v="4"/>
    <x v="0"/>
    <x v="0"/>
    <x v="361"/>
    <n v="4"/>
    <x v="0"/>
    <n v="46"/>
    <n v="4"/>
    <n v="1"/>
    <x v="2"/>
    <n v="3"/>
    <x v="1"/>
    <n v="2213"/>
    <n v="22495"/>
    <n v="3"/>
    <s v="Y"/>
    <x v="0"/>
    <n v="13"/>
    <n v="3"/>
    <n v="3"/>
    <n v="80"/>
    <n v="1"/>
    <n v="10"/>
    <n v="3"/>
    <n v="3"/>
    <n v="7"/>
    <n v="7"/>
    <n v="1"/>
    <n v="7"/>
  </r>
  <r>
    <x v="18"/>
    <x v="1"/>
    <x v="2"/>
    <n v="895"/>
    <x v="0"/>
    <n v="9"/>
    <n v="2"/>
    <x v="2"/>
    <x v="0"/>
    <x v="362"/>
    <n v="1"/>
    <x v="1"/>
    <n v="39"/>
    <n v="3"/>
    <n v="1"/>
    <x v="6"/>
    <n v="4"/>
    <x v="0"/>
    <n v="2610"/>
    <n v="2851"/>
    <n v="1"/>
    <s v="Y"/>
    <x v="1"/>
    <n v="24"/>
    <n v="4"/>
    <n v="3"/>
    <n v="80"/>
    <n v="0"/>
    <n v="3"/>
    <n v="3"/>
    <n v="2"/>
    <n v="3"/>
    <n v="2"/>
    <n v="2"/>
    <n v="2"/>
  </r>
  <r>
    <x v="3"/>
    <x v="0"/>
    <x v="0"/>
    <n v="350"/>
    <x v="0"/>
    <n v="5"/>
    <n v="3"/>
    <x v="3"/>
    <x v="0"/>
    <x v="363"/>
    <n v="4"/>
    <x v="0"/>
    <n v="34"/>
    <n v="3"/>
    <n v="1"/>
    <x v="6"/>
    <n v="3"/>
    <x v="0"/>
    <n v="2851"/>
    <n v="9150"/>
    <n v="1"/>
    <s v="Y"/>
    <x v="0"/>
    <n v="13"/>
    <n v="3"/>
    <n v="2"/>
    <n v="80"/>
    <n v="0"/>
    <n v="1"/>
    <n v="2"/>
    <n v="3"/>
    <n v="1"/>
    <n v="0"/>
    <n v="0"/>
    <n v="0"/>
  </r>
  <r>
    <x v="2"/>
    <x v="1"/>
    <x v="0"/>
    <n v="921"/>
    <x v="1"/>
    <n v="10"/>
    <n v="3"/>
    <x v="2"/>
    <x v="0"/>
    <x v="364"/>
    <n v="3"/>
    <x v="0"/>
    <n v="98"/>
    <n v="3"/>
    <n v="1"/>
    <x v="2"/>
    <n v="1"/>
    <x v="1"/>
    <n v="3452"/>
    <n v="17663"/>
    <n v="6"/>
    <s v="Y"/>
    <x v="1"/>
    <n v="20"/>
    <n v="4"/>
    <n v="2"/>
    <n v="80"/>
    <n v="1"/>
    <n v="17"/>
    <n v="3"/>
    <n v="3"/>
    <n v="5"/>
    <n v="4"/>
    <n v="0"/>
    <n v="3"/>
  </r>
  <r>
    <x v="21"/>
    <x v="1"/>
    <x v="2"/>
    <n v="1144"/>
    <x v="1"/>
    <n v="7"/>
    <n v="4"/>
    <x v="2"/>
    <x v="0"/>
    <x v="365"/>
    <n v="3"/>
    <x v="0"/>
    <n v="30"/>
    <n v="3"/>
    <n v="2"/>
    <x v="3"/>
    <n v="3"/>
    <x v="1"/>
    <n v="5258"/>
    <n v="16044"/>
    <n v="2"/>
    <s v="Y"/>
    <x v="1"/>
    <n v="14"/>
    <n v="3"/>
    <n v="3"/>
    <n v="80"/>
    <n v="0"/>
    <n v="7"/>
    <n v="2"/>
    <n v="4"/>
    <n v="1"/>
    <n v="0"/>
    <n v="0"/>
    <n v="0"/>
  </r>
  <r>
    <x v="0"/>
    <x v="0"/>
    <x v="1"/>
    <n v="143"/>
    <x v="0"/>
    <n v="4"/>
    <n v="3"/>
    <x v="3"/>
    <x v="0"/>
    <x v="366"/>
    <n v="1"/>
    <x v="1"/>
    <n v="56"/>
    <n v="3"/>
    <n v="2"/>
    <x v="0"/>
    <n v="2"/>
    <x v="0"/>
    <n v="9355"/>
    <n v="9558"/>
    <n v="1"/>
    <s v="Y"/>
    <x v="1"/>
    <n v="18"/>
    <n v="3"/>
    <n v="3"/>
    <n v="80"/>
    <n v="0"/>
    <n v="8"/>
    <n v="5"/>
    <n v="3"/>
    <n v="8"/>
    <n v="7"/>
    <n v="7"/>
    <n v="7"/>
  </r>
  <r>
    <x v="24"/>
    <x v="1"/>
    <x v="0"/>
    <n v="1046"/>
    <x v="1"/>
    <n v="10"/>
    <n v="3"/>
    <x v="4"/>
    <x v="0"/>
    <x v="367"/>
    <n v="4"/>
    <x v="1"/>
    <n v="100"/>
    <n v="2"/>
    <n v="3"/>
    <x v="4"/>
    <n v="4"/>
    <x v="0"/>
    <n v="10496"/>
    <n v="2755"/>
    <n v="6"/>
    <s v="Y"/>
    <x v="1"/>
    <n v="15"/>
    <n v="3"/>
    <n v="4"/>
    <n v="80"/>
    <n v="0"/>
    <n v="20"/>
    <n v="2"/>
    <n v="3"/>
    <n v="4"/>
    <n v="3"/>
    <n v="1"/>
    <n v="3"/>
  </r>
  <r>
    <x v="32"/>
    <x v="0"/>
    <x v="0"/>
    <n v="575"/>
    <x v="0"/>
    <n v="22"/>
    <n v="2"/>
    <x v="3"/>
    <x v="0"/>
    <x v="368"/>
    <n v="3"/>
    <x v="1"/>
    <n v="68"/>
    <n v="2"/>
    <n v="2"/>
    <x v="0"/>
    <n v="3"/>
    <x v="1"/>
    <n v="6380"/>
    <n v="6110"/>
    <n v="2"/>
    <s v="Y"/>
    <x v="0"/>
    <n v="12"/>
    <n v="3"/>
    <n v="1"/>
    <n v="80"/>
    <n v="2"/>
    <n v="8"/>
    <n v="6"/>
    <n v="3"/>
    <n v="6"/>
    <n v="4"/>
    <n v="1"/>
    <n v="0"/>
  </r>
  <r>
    <x v="12"/>
    <x v="1"/>
    <x v="0"/>
    <n v="408"/>
    <x v="1"/>
    <n v="9"/>
    <n v="4"/>
    <x v="0"/>
    <x v="0"/>
    <x v="369"/>
    <n v="3"/>
    <x v="1"/>
    <n v="42"/>
    <n v="2"/>
    <n v="1"/>
    <x v="1"/>
    <n v="2"/>
    <x v="0"/>
    <n v="2657"/>
    <n v="7551"/>
    <n v="0"/>
    <s v="Y"/>
    <x v="0"/>
    <n v="16"/>
    <n v="3"/>
    <n v="4"/>
    <n v="80"/>
    <n v="0"/>
    <n v="3"/>
    <n v="5"/>
    <n v="3"/>
    <n v="2"/>
    <n v="2"/>
    <n v="2"/>
    <n v="2"/>
  </r>
  <r>
    <x v="18"/>
    <x v="0"/>
    <x v="0"/>
    <n v="156"/>
    <x v="0"/>
    <n v="12"/>
    <n v="3"/>
    <x v="0"/>
    <x v="0"/>
    <x v="370"/>
    <n v="3"/>
    <x v="0"/>
    <n v="90"/>
    <n v="4"/>
    <n v="1"/>
    <x v="6"/>
    <n v="2"/>
    <x v="0"/>
    <n v="2716"/>
    <n v="25422"/>
    <n v="1"/>
    <s v="Y"/>
    <x v="1"/>
    <n v="15"/>
    <n v="3"/>
    <n v="4"/>
    <n v="80"/>
    <n v="0"/>
    <n v="1"/>
    <n v="0"/>
    <n v="3"/>
    <n v="1"/>
    <n v="0"/>
    <n v="0"/>
    <n v="0"/>
  </r>
  <r>
    <x v="11"/>
    <x v="1"/>
    <x v="0"/>
    <n v="1283"/>
    <x v="1"/>
    <n v="23"/>
    <n v="3"/>
    <x v="0"/>
    <x v="0"/>
    <x v="371"/>
    <n v="4"/>
    <x v="1"/>
    <n v="54"/>
    <n v="3"/>
    <n v="1"/>
    <x v="1"/>
    <n v="4"/>
    <x v="0"/>
    <n v="2201"/>
    <n v="18168"/>
    <n v="9"/>
    <s v="Y"/>
    <x v="1"/>
    <n v="16"/>
    <n v="3"/>
    <n v="4"/>
    <n v="80"/>
    <n v="0"/>
    <n v="6"/>
    <n v="4"/>
    <n v="3"/>
    <n v="3"/>
    <n v="2"/>
    <n v="1"/>
    <n v="2"/>
  </r>
  <r>
    <x v="10"/>
    <x v="1"/>
    <x v="0"/>
    <n v="755"/>
    <x v="1"/>
    <n v="9"/>
    <n v="4"/>
    <x v="0"/>
    <x v="0"/>
    <x v="372"/>
    <n v="3"/>
    <x v="1"/>
    <n v="97"/>
    <n v="2"/>
    <n v="2"/>
    <x v="4"/>
    <n v="2"/>
    <x v="0"/>
    <n v="6540"/>
    <n v="19394"/>
    <n v="9"/>
    <s v="Y"/>
    <x v="1"/>
    <n v="19"/>
    <n v="3"/>
    <n v="3"/>
    <n v="80"/>
    <n v="0"/>
    <n v="10"/>
    <n v="5"/>
    <n v="3"/>
    <n v="1"/>
    <n v="1"/>
    <n v="0"/>
    <n v="0"/>
  </r>
  <r>
    <x v="4"/>
    <x v="1"/>
    <x v="0"/>
    <n v="1469"/>
    <x v="1"/>
    <n v="1"/>
    <n v="2"/>
    <x v="2"/>
    <x v="0"/>
    <x v="373"/>
    <n v="4"/>
    <x v="1"/>
    <n v="82"/>
    <n v="3"/>
    <n v="1"/>
    <x v="2"/>
    <n v="2"/>
    <x v="2"/>
    <n v="3816"/>
    <n v="17881"/>
    <n v="1"/>
    <s v="Y"/>
    <x v="1"/>
    <n v="11"/>
    <n v="3"/>
    <n v="2"/>
    <n v="80"/>
    <n v="1"/>
    <n v="5"/>
    <n v="2"/>
    <n v="3"/>
    <n v="5"/>
    <n v="2"/>
    <n v="0"/>
    <n v="4"/>
  </r>
  <r>
    <x v="14"/>
    <x v="1"/>
    <x v="0"/>
    <n v="304"/>
    <x v="0"/>
    <n v="9"/>
    <n v="4"/>
    <x v="0"/>
    <x v="0"/>
    <x v="374"/>
    <n v="2"/>
    <x v="1"/>
    <n v="92"/>
    <n v="3"/>
    <n v="2"/>
    <x v="0"/>
    <n v="4"/>
    <x v="0"/>
    <n v="5253"/>
    <n v="20750"/>
    <n v="1"/>
    <s v="Y"/>
    <x v="1"/>
    <n v="16"/>
    <n v="3"/>
    <n v="4"/>
    <n v="80"/>
    <n v="0"/>
    <n v="7"/>
    <n v="1"/>
    <n v="3"/>
    <n v="7"/>
    <n v="5"/>
    <n v="0"/>
    <n v="7"/>
  </r>
  <r>
    <x v="1"/>
    <x v="1"/>
    <x v="0"/>
    <n v="1261"/>
    <x v="1"/>
    <n v="7"/>
    <n v="3"/>
    <x v="1"/>
    <x v="0"/>
    <x v="375"/>
    <n v="2"/>
    <x v="1"/>
    <n v="31"/>
    <n v="2"/>
    <n v="3"/>
    <x v="4"/>
    <n v="3"/>
    <x v="0"/>
    <n v="10965"/>
    <n v="12066"/>
    <n v="8"/>
    <s v="Y"/>
    <x v="1"/>
    <n v="24"/>
    <n v="4"/>
    <n v="3"/>
    <n v="80"/>
    <n v="0"/>
    <n v="26"/>
    <n v="2"/>
    <n v="3"/>
    <n v="5"/>
    <n v="2"/>
    <n v="0"/>
    <n v="0"/>
  </r>
  <r>
    <x v="31"/>
    <x v="1"/>
    <x v="0"/>
    <n v="1178"/>
    <x v="0"/>
    <n v="14"/>
    <n v="2"/>
    <x v="0"/>
    <x v="0"/>
    <x v="376"/>
    <n v="3"/>
    <x v="0"/>
    <n v="87"/>
    <n v="3"/>
    <n v="2"/>
    <x v="0"/>
    <n v="4"/>
    <x v="1"/>
    <n v="4936"/>
    <n v="14862"/>
    <n v="4"/>
    <s v="Y"/>
    <x v="1"/>
    <n v="11"/>
    <n v="3"/>
    <n v="3"/>
    <n v="80"/>
    <n v="1"/>
    <n v="18"/>
    <n v="2"/>
    <n v="2"/>
    <n v="7"/>
    <n v="7"/>
    <n v="0"/>
    <n v="7"/>
  </r>
  <r>
    <x v="9"/>
    <x v="1"/>
    <x v="0"/>
    <n v="329"/>
    <x v="1"/>
    <n v="2"/>
    <n v="3"/>
    <x v="0"/>
    <x v="0"/>
    <x v="377"/>
    <n v="4"/>
    <x v="0"/>
    <n v="96"/>
    <n v="3"/>
    <n v="1"/>
    <x v="1"/>
    <n v="3"/>
    <x v="1"/>
    <n v="2543"/>
    <n v="11868"/>
    <n v="4"/>
    <s v="Y"/>
    <x v="1"/>
    <n v="13"/>
    <n v="3"/>
    <n v="2"/>
    <n v="80"/>
    <n v="1"/>
    <n v="6"/>
    <n v="3"/>
    <n v="3"/>
    <n v="2"/>
    <n v="2"/>
    <n v="2"/>
    <n v="2"/>
  </r>
  <r>
    <x v="13"/>
    <x v="0"/>
    <x v="2"/>
    <n v="1362"/>
    <x v="0"/>
    <n v="19"/>
    <n v="3"/>
    <x v="3"/>
    <x v="0"/>
    <x v="378"/>
    <n v="1"/>
    <x v="1"/>
    <n v="67"/>
    <n v="4"/>
    <n v="2"/>
    <x v="0"/>
    <n v="4"/>
    <x v="0"/>
    <n v="5304"/>
    <n v="4652"/>
    <n v="8"/>
    <s v="Y"/>
    <x v="0"/>
    <n v="13"/>
    <n v="3"/>
    <n v="2"/>
    <n v="80"/>
    <n v="0"/>
    <n v="9"/>
    <n v="3"/>
    <n v="2"/>
    <n v="5"/>
    <n v="2"/>
    <n v="0"/>
    <n v="4"/>
  </r>
  <r>
    <x v="27"/>
    <x v="1"/>
    <x v="0"/>
    <n v="1311"/>
    <x v="1"/>
    <n v="2"/>
    <n v="3"/>
    <x v="0"/>
    <x v="0"/>
    <x v="379"/>
    <n v="3"/>
    <x v="0"/>
    <n v="97"/>
    <n v="3"/>
    <n v="4"/>
    <x v="5"/>
    <n v="4"/>
    <x v="0"/>
    <n v="16659"/>
    <n v="23258"/>
    <n v="2"/>
    <s v="Y"/>
    <x v="0"/>
    <n v="13"/>
    <n v="3"/>
    <n v="3"/>
    <n v="80"/>
    <n v="0"/>
    <n v="30"/>
    <n v="2"/>
    <n v="3"/>
    <n v="5"/>
    <n v="4"/>
    <n v="1"/>
    <n v="2"/>
  </r>
  <r>
    <x v="17"/>
    <x v="1"/>
    <x v="0"/>
    <n v="1371"/>
    <x v="0"/>
    <n v="10"/>
    <n v="4"/>
    <x v="3"/>
    <x v="0"/>
    <x v="380"/>
    <n v="4"/>
    <x v="0"/>
    <n v="77"/>
    <n v="3"/>
    <n v="2"/>
    <x v="0"/>
    <n v="3"/>
    <x v="2"/>
    <n v="4260"/>
    <n v="5915"/>
    <n v="1"/>
    <s v="Y"/>
    <x v="0"/>
    <n v="12"/>
    <n v="3"/>
    <n v="4"/>
    <n v="80"/>
    <n v="1"/>
    <n v="5"/>
    <n v="2"/>
    <n v="4"/>
    <n v="5"/>
    <n v="2"/>
    <n v="0"/>
    <n v="3"/>
  </r>
  <r>
    <x v="7"/>
    <x v="1"/>
    <x v="0"/>
    <n v="202"/>
    <x v="0"/>
    <n v="2"/>
    <n v="1"/>
    <x v="4"/>
    <x v="0"/>
    <x v="381"/>
    <n v="3"/>
    <x v="1"/>
    <n v="72"/>
    <n v="3"/>
    <n v="1"/>
    <x v="6"/>
    <n v="2"/>
    <x v="1"/>
    <n v="2476"/>
    <n v="17434"/>
    <n v="1"/>
    <s v="Y"/>
    <x v="1"/>
    <n v="18"/>
    <n v="3"/>
    <n v="1"/>
    <n v="80"/>
    <n v="1"/>
    <n v="1"/>
    <n v="3"/>
    <n v="3"/>
    <n v="1"/>
    <n v="0"/>
    <n v="0"/>
    <n v="0"/>
  </r>
  <r>
    <x v="25"/>
    <x v="0"/>
    <x v="1"/>
    <n v="575"/>
    <x v="1"/>
    <n v="3"/>
    <n v="1"/>
    <x v="4"/>
    <x v="0"/>
    <x v="382"/>
    <n v="3"/>
    <x v="1"/>
    <n v="73"/>
    <n v="3"/>
    <n v="1"/>
    <x v="1"/>
    <n v="1"/>
    <x v="0"/>
    <n v="3102"/>
    <n v="6582"/>
    <n v="0"/>
    <s v="Y"/>
    <x v="1"/>
    <n v="22"/>
    <n v="4"/>
    <n v="3"/>
    <n v="80"/>
    <n v="0"/>
    <n v="7"/>
    <n v="2"/>
    <n v="3"/>
    <n v="6"/>
    <n v="4"/>
    <n v="0"/>
    <n v="4"/>
  </r>
  <r>
    <x v="15"/>
    <x v="1"/>
    <x v="0"/>
    <n v="253"/>
    <x v="1"/>
    <n v="11"/>
    <n v="3"/>
    <x v="2"/>
    <x v="0"/>
    <x v="383"/>
    <n v="1"/>
    <x v="0"/>
    <n v="43"/>
    <n v="3"/>
    <n v="1"/>
    <x v="1"/>
    <n v="2"/>
    <x v="1"/>
    <n v="2244"/>
    <n v="24440"/>
    <n v="1"/>
    <s v="Y"/>
    <x v="1"/>
    <n v="13"/>
    <n v="3"/>
    <n v="4"/>
    <n v="80"/>
    <n v="1"/>
    <n v="2"/>
    <n v="1"/>
    <n v="3"/>
    <n v="2"/>
    <n v="1"/>
    <n v="1"/>
    <n v="2"/>
  </r>
  <r>
    <x v="9"/>
    <x v="1"/>
    <x v="0"/>
    <n v="164"/>
    <x v="0"/>
    <n v="2"/>
    <n v="2"/>
    <x v="2"/>
    <x v="0"/>
    <x v="384"/>
    <n v="2"/>
    <x v="1"/>
    <n v="61"/>
    <n v="2"/>
    <n v="3"/>
    <x v="0"/>
    <n v="3"/>
    <x v="1"/>
    <n v="7596"/>
    <n v="3809"/>
    <n v="1"/>
    <s v="Y"/>
    <x v="1"/>
    <n v="13"/>
    <n v="3"/>
    <n v="2"/>
    <n v="80"/>
    <n v="2"/>
    <n v="10"/>
    <n v="2"/>
    <n v="3"/>
    <n v="10"/>
    <n v="9"/>
    <n v="9"/>
    <n v="0"/>
  </r>
  <r>
    <x v="7"/>
    <x v="0"/>
    <x v="1"/>
    <n v="464"/>
    <x v="1"/>
    <n v="4"/>
    <n v="3"/>
    <x v="4"/>
    <x v="0"/>
    <x v="385"/>
    <n v="3"/>
    <x v="1"/>
    <n v="40"/>
    <n v="3"/>
    <n v="1"/>
    <x v="1"/>
    <n v="4"/>
    <x v="0"/>
    <n v="2285"/>
    <n v="3427"/>
    <n v="9"/>
    <s v="Y"/>
    <x v="0"/>
    <n v="23"/>
    <n v="4"/>
    <n v="3"/>
    <n v="80"/>
    <n v="0"/>
    <n v="3"/>
    <n v="4"/>
    <n v="3"/>
    <n v="1"/>
    <n v="0"/>
    <n v="0"/>
    <n v="0"/>
  </r>
  <r>
    <x v="2"/>
    <x v="1"/>
    <x v="0"/>
    <n v="1107"/>
    <x v="1"/>
    <n v="14"/>
    <n v="3"/>
    <x v="0"/>
    <x v="0"/>
    <x v="386"/>
    <n v="4"/>
    <x v="0"/>
    <n v="95"/>
    <n v="3"/>
    <n v="1"/>
    <x v="2"/>
    <n v="1"/>
    <x v="2"/>
    <n v="3034"/>
    <n v="26914"/>
    <n v="1"/>
    <s v="Y"/>
    <x v="1"/>
    <n v="12"/>
    <n v="3"/>
    <n v="3"/>
    <n v="80"/>
    <n v="1"/>
    <n v="18"/>
    <n v="2"/>
    <n v="2"/>
    <n v="18"/>
    <n v="7"/>
    <n v="12"/>
    <n v="17"/>
  </r>
  <r>
    <x v="32"/>
    <x v="1"/>
    <x v="0"/>
    <n v="759"/>
    <x v="0"/>
    <n v="2"/>
    <n v="2"/>
    <x v="3"/>
    <x v="0"/>
    <x v="387"/>
    <n v="4"/>
    <x v="0"/>
    <n v="46"/>
    <n v="3"/>
    <n v="2"/>
    <x v="0"/>
    <n v="2"/>
    <x v="2"/>
    <n v="5715"/>
    <n v="22553"/>
    <n v="7"/>
    <s v="Y"/>
    <x v="1"/>
    <n v="12"/>
    <n v="3"/>
    <n v="3"/>
    <n v="80"/>
    <n v="2"/>
    <n v="8"/>
    <n v="5"/>
    <n v="3"/>
    <n v="5"/>
    <n v="4"/>
    <n v="1"/>
    <n v="3"/>
  </r>
  <r>
    <x v="19"/>
    <x v="1"/>
    <x v="0"/>
    <n v="201"/>
    <x v="1"/>
    <n v="1"/>
    <n v="4"/>
    <x v="0"/>
    <x v="0"/>
    <x v="388"/>
    <n v="2"/>
    <x v="0"/>
    <n v="95"/>
    <n v="3"/>
    <n v="1"/>
    <x v="2"/>
    <n v="1"/>
    <x v="2"/>
    <n v="2576"/>
    <n v="20490"/>
    <n v="3"/>
    <s v="Y"/>
    <x v="1"/>
    <n v="16"/>
    <n v="3"/>
    <n v="2"/>
    <n v="80"/>
    <n v="1"/>
    <n v="8"/>
    <n v="5"/>
    <n v="3"/>
    <n v="5"/>
    <n v="2"/>
    <n v="1"/>
    <n v="2"/>
  </r>
  <r>
    <x v="2"/>
    <x v="1"/>
    <x v="0"/>
    <n v="1305"/>
    <x v="1"/>
    <n v="10"/>
    <n v="4"/>
    <x v="0"/>
    <x v="0"/>
    <x v="389"/>
    <n v="3"/>
    <x v="1"/>
    <n v="49"/>
    <n v="3"/>
    <n v="2"/>
    <x v="3"/>
    <n v="2"/>
    <x v="0"/>
    <n v="4197"/>
    <n v="21123"/>
    <n v="2"/>
    <s v="Y"/>
    <x v="0"/>
    <n v="12"/>
    <n v="3"/>
    <n v="4"/>
    <n v="80"/>
    <n v="0"/>
    <n v="18"/>
    <n v="2"/>
    <n v="2"/>
    <n v="1"/>
    <n v="0"/>
    <n v="0"/>
    <n v="1"/>
  </r>
  <r>
    <x v="23"/>
    <x v="1"/>
    <x v="0"/>
    <n v="982"/>
    <x v="1"/>
    <n v="12"/>
    <n v="3"/>
    <x v="0"/>
    <x v="0"/>
    <x v="390"/>
    <n v="1"/>
    <x v="1"/>
    <n v="59"/>
    <n v="2"/>
    <n v="4"/>
    <x v="7"/>
    <n v="2"/>
    <x v="2"/>
    <n v="14336"/>
    <n v="4345"/>
    <n v="1"/>
    <s v="Y"/>
    <x v="1"/>
    <n v="11"/>
    <n v="3"/>
    <n v="3"/>
    <n v="80"/>
    <n v="1"/>
    <n v="25"/>
    <n v="3"/>
    <n v="3"/>
    <n v="25"/>
    <n v="10"/>
    <n v="3"/>
    <n v="9"/>
  </r>
  <r>
    <x v="32"/>
    <x v="1"/>
    <x v="0"/>
    <n v="555"/>
    <x v="1"/>
    <n v="2"/>
    <n v="3"/>
    <x v="2"/>
    <x v="0"/>
    <x v="391"/>
    <n v="2"/>
    <x v="0"/>
    <n v="78"/>
    <n v="2"/>
    <n v="2"/>
    <x v="2"/>
    <n v="3"/>
    <x v="1"/>
    <n v="3448"/>
    <n v="13436"/>
    <n v="6"/>
    <s v="Y"/>
    <x v="1"/>
    <n v="22"/>
    <n v="4"/>
    <n v="2"/>
    <n v="80"/>
    <n v="1"/>
    <n v="20"/>
    <n v="3"/>
    <n v="3"/>
    <n v="1"/>
    <n v="0"/>
    <n v="0"/>
    <n v="0"/>
  </r>
  <r>
    <x v="33"/>
    <x v="1"/>
    <x v="0"/>
    <n v="821"/>
    <x v="1"/>
    <n v="5"/>
    <n v="2"/>
    <x v="2"/>
    <x v="0"/>
    <x v="392"/>
    <n v="1"/>
    <x v="1"/>
    <n v="86"/>
    <n v="3"/>
    <n v="5"/>
    <x v="7"/>
    <n v="1"/>
    <x v="1"/>
    <n v="19406"/>
    <n v="8509"/>
    <n v="4"/>
    <s v="Y"/>
    <x v="1"/>
    <n v="11"/>
    <n v="3"/>
    <n v="3"/>
    <n v="80"/>
    <n v="1"/>
    <n v="24"/>
    <n v="4"/>
    <n v="2"/>
    <n v="4"/>
    <n v="2"/>
    <n v="1"/>
    <n v="2"/>
  </r>
  <r>
    <x v="13"/>
    <x v="1"/>
    <x v="2"/>
    <n v="1381"/>
    <x v="0"/>
    <n v="4"/>
    <n v="4"/>
    <x v="3"/>
    <x v="0"/>
    <x v="393"/>
    <n v="3"/>
    <x v="0"/>
    <n v="72"/>
    <n v="3"/>
    <n v="2"/>
    <x v="0"/>
    <n v="3"/>
    <x v="1"/>
    <n v="6538"/>
    <n v="12740"/>
    <n v="9"/>
    <s v="Y"/>
    <x v="1"/>
    <n v="15"/>
    <n v="3"/>
    <n v="1"/>
    <n v="80"/>
    <n v="1"/>
    <n v="6"/>
    <n v="3"/>
    <n v="3"/>
    <n v="3"/>
    <n v="2"/>
    <n v="1"/>
    <n v="2"/>
  </r>
  <r>
    <x v="12"/>
    <x v="1"/>
    <x v="0"/>
    <n v="480"/>
    <x v="1"/>
    <n v="7"/>
    <n v="2"/>
    <x v="2"/>
    <x v="0"/>
    <x v="394"/>
    <n v="2"/>
    <x v="0"/>
    <n v="31"/>
    <n v="3"/>
    <n v="2"/>
    <x v="3"/>
    <n v="1"/>
    <x v="1"/>
    <n v="4306"/>
    <n v="4156"/>
    <n v="1"/>
    <s v="Y"/>
    <x v="1"/>
    <n v="12"/>
    <n v="3"/>
    <n v="2"/>
    <n v="80"/>
    <n v="1"/>
    <n v="13"/>
    <n v="5"/>
    <n v="1"/>
    <n v="13"/>
    <n v="10"/>
    <n v="3"/>
    <n v="12"/>
  </r>
  <r>
    <x v="23"/>
    <x v="1"/>
    <x v="1"/>
    <n v="313"/>
    <x v="1"/>
    <n v="21"/>
    <n v="3"/>
    <x v="2"/>
    <x v="0"/>
    <x v="395"/>
    <n v="4"/>
    <x v="1"/>
    <n v="61"/>
    <n v="3"/>
    <n v="1"/>
    <x v="2"/>
    <n v="4"/>
    <x v="1"/>
    <n v="2258"/>
    <n v="15238"/>
    <n v="7"/>
    <s v="Y"/>
    <x v="1"/>
    <n v="20"/>
    <n v="4"/>
    <n v="1"/>
    <n v="80"/>
    <n v="1"/>
    <n v="8"/>
    <n v="1"/>
    <n v="3"/>
    <n v="3"/>
    <n v="2"/>
    <n v="1"/>
    <n v="2"/>
  </r>
  <r>
    <x v="23"/>
    <x v="1"/>
    <x v="0"/>
    <n v="1473"/>
    <x v="1"/>
    <n v="8"/>
    <n v="4"/>
    <x v="1"/>
    <x v="0"/>
    <x v="396"/>
    <n v="3"/>
    <x v="0"/>
    <n v="74"/>
    <n v="3"/>
    <n v="2"/>
    <x v="4"/>
    <n v="3"/>
    <x v="2"/>
    <n v="4522"/>
    <n v="2227"/>
    <n v="4"/>
    <s v="Y"/>
    <x v="0"/>
    <n v="14"/>
    <n v="3"/>
    <n v="4"/>
    <n v="80"/>
    <n v="0"/>
    <n v="8"/>
    <n v="3"/>
    <n v="3"/>
    <n v="5"/>
    <n v="2"/>
    <n v="0"/>
    <n v="2"/>
  </r>
  <r>
    <x v="36"/>
    <x v="1"/>
    <x v="0"/>
    <n v="891"/>
    <x v="0"/>
    <n v="4"/>
    <n v="2"/>
    <x v="0"/>
    <x v="0"/>
    <x v="397"/>
    <n v="2"/>
    <x v="0"/>
    <n v="99"/>
    <n v="2"/>
    <n v="2"/>
    <x v="0"/>
    <n v="4"/>
    <x v="0"/>
    <n v="4487"/>
    <n v="12090"/>
    <n v="1"/>
    <s v="Y"/>
    <x v="0"/>
    <n v="11"/>
    <n v="3"/>
    <n v="2"/>
    <n v="80"/>
    <n v="0"/>
    <n v="5"/>
    <n v="3"/>
    <n v="3"/>
    <n v="5"/>
    <n v="4"/>
    <n v="1"/>
    <n v="3"/>
  </r>
  <r>
    <x v="2"/>
    <x v="1"/>
    <x v="2"/>
    <n v="1063"/>
    <x v="1"/>
    <n v="25"/>
    <n v="5"/>
    <x v="2"/>
    <x v="0"/>
    <x v="398"/>
    <n v="2"/>
    <x v="0"/>
    <n v="72"/>
    <n v="3"/>
    <n v="2"/>
    <x v="1"/>
    <n v="3"/>
    <x v="1"/>
    <n v="4449"/>
    <n v="23866"/>
    <n v="3"/>
    <s v="Y"/>
    <x v="0"/>
    <n v="15"/>
    <n v="3"/>
    <n v="1"/>
    <n v="80"/>
    <n v="2"/>
    <n v="15"/>
    <n v="2"/>
    <n v="3"/>
    <n v="13"/>
    <n v="11"/>
    <n v="10"/>
    <n v="7"/>
  </r>
  <r>
    <x v="12"/>
    <x v="1"/>
    <x v="0"/>
    <n v="329"/>
    <x v="1"/>
    <n v="1"/>
    <n v="2"/>
    <x v="0"/>
    <x v="0"/>
    <x v="399"/>
    <n v="4"/>
    <x v="1"/>
    <n v="98"/>
    <n v="2"/>
    <n v="1"/>
    <x v="2"/>
    <n v="1"/>
    <x v="1"/>
    <n v="2218"/>
    <n v="16193"/>
    <n v="1"/>
    <s v="Y"/>
    <x v="1"/>
    <n v="12"/>
    <n v="3"/>
    <n v="3"/>
    <n v="80"/>
    <n v="1"/>
    <n v="4"/>
    <n v="3"/>
    <n v="3"/>
    <n v="4"/>
    <n v="2"/>
    <n v="3"/>
    <n v="2"/>
  </r>
  <r>
    <x v="22"/>
    <x v="1"/>
    <x v="1"/>
    <n v="1218"/>
    <x v="1"/>
    <n v="1"/>
    <n v="1"/>
    <x v="0"/>
    <x v="0"/>
    <x v="400"/>
    <n v="2"/>
    <x v="1"/>
    <n v="52"/>
    <n v="3"/>
    <n v="5"/>
    <x v="5"/>
    <n v="3"/>
    <x v="2"/>
    <n v="19197"/>
    <n v="8213"/>
    <n v="1"/>
    <s v="Y"/>
    <x v="0"/>
    <n v="14"/>
    <n v="3"/>
    <n v="3"/>
    <n v="80"/>
    <n v="1"/>
    <n v="21"/>
    <n v="3"/>
    <n v="3"/>
    <n v="21"/>
    <n v="8"/>
    <n v="1"/>
    <n v="6"/>
  </r>
  <r>
    <x v="29"/>
    <x v="1"/>
    <x v="1"/>
    <n v="906"/>
    <x v="0"/>
    <n v="6"/>
    <n v="3"/>
    <x v="0"/>
    <x v="0"/>
    <x v="401"/>
    <n v="3"/>
    <x v="0"/>
    <n v="86"/>
    <n v="4"/>
    <n v="4"/>
    <x v="0"/>
    <n v="1"/>
    <x v="1"/>
    <n v="13212"/>
    <n v="18256"/>
    <n v="9"/>
    <s v="Y"/>
    <x v="1"/>
    <n v="11"/>
    <n v="3"/>
    <n v="4"/>
    <n v="80"/>
    <n v="3"/>
    <n v="36"/>
    <n v="0"/>
    <n v="2"/>
    <n v="7"/>
    <n v="7"/>
    <n v="7"/>
    <n v="7"/>
  </r>
  <r>
    <x v="7"/>
    <x v="1"/>
    <x v="0"/>
    <n v="1082"/>
    <x v="0"/>
    <n v="12"/>
    <n v="3"/>
    <x v="4"/>
    <x v="0"/>
    <x v="402"/>
    <n v="2"/>
    <x v="0"/>
    <n v="83"/>
    <n v="3"/>
    <n v="2"/>
    <x v="0"/>
    <n v="3"/>
    <x v="0"/>
    <n v="6577"/>
    <n v="19558"/>
    <n v="0"/>
    <s v="Y"/>
    <x v="1"/>
    <n v="11"/>
    <n v="3"/>
    <n v="2"/>
    <n v="80"/>
    <n v="0"/>
    <n v="6"/>
    <n v="6"/>
    <n v="3"/>
    <n v="5"/>
    <n v="4"/>
    <n v="4"/>
    <n v="4"/>
  </r>
  <r>
    <x v="0"/>
    <x v="1"/>
    <x v="0"/>
    <n v="645"/>
    <x v="0"/>
    <n v="1"/>
    <n v="3"/>
    <x v="3"/>
    <x v="0"/>
    <x v="403"/>
    <n v="2"/>
    <x v="1"/>
    <n v="49"/>
    <n v="4"/>
    <n v="3"/>
    <x v="0"/>
    <n v="1"/>
    <x v="1"/>
    <n v="8392"/>
    <n v="19566"/>
    <n v="1"/>
    <s v="Y"/>
    <x v="1"/>
    <n v="16"/>
    <n v="3"/>
    <n v="3"/>
    <n v="80"/>
    <n v="1"/>
    <n v="10"/>
    <n v="2"/>
    <n v="3"/>
    <n v="10"/>
    <n v="7"/>
    <n v="0"/>
    <n v="7"/>
  </r>
  <r>
    <x v="14"/>
    <x v="1"/>
    <x v="0"/>
    <n v="1300"/>
    <x v="1"/>
    <n v="17"/>
    <n v="2"/>
    <x v="2"/>
    <x v="0"/>
    <x v="404"/>
    <n v="3"/>
    <x v="1"/>
    <n v="79"/>
    <n v="3"/>
    <n v="2"/>
    <x v="2"/>
    <n v="1"/>
    <x v="2"/>
    <n v="4558"/>
    <n v="13535"/>
    <n v="1"/>
    <s v="Y"/>
    <x v="1"/>
    <n v="12"/>
    <n v="3"/>
    <n v="4"/>
    <n v="80"/>
    <n v="1"/>
    <n v="10"/>
    <n v="2"/>
    <n v="3"/>
    <n v="10"/>
    <n v="0"/>
    <n v="1"/>
    <n v="8"/>
  </r>
  <r>
    <x v="36"/>
    <x v="0"/>
    <x v="0"/>
    <n v="688"/>
    <x v="1"/>
    <n v="3"/>
    <n v="3"/>
    <x v="2"/>
    <x v="0"/>
    <x v="405"/>
    <n v="1"/>
    <x v="1"/>
    <n v="91"/>
    <n v="3"/>
    <n v="1"/>
    <x v="2"/>
    <n v="1"/>
    <x v="1"/>
    <n v="4031"/>
    <n v="9396"/>
    <n v="5"/>
    <s v="Y"/>
    <x v="1"/>
    <n v="13"/>
    <n v="3"/>
    <n v="3"/>
    <n v="80"/>
    <n v="1"/>
    <n v="6"/>
    <n v="5"/>
    <n v="3"/>
    <n v="2"/>
    <n v="2"/>
    <n v="0"/>
    <n v="2"/>
  </r>
  <r>
    <x v="39"/>
    <x v="1"/>
    <x v="0"/>
    <n v="319"/>
    <x v="1"/>
    <n v="3"/>
    <n v="3"/>
    <x v="2"/>
    <x v="0"/>
    <x v="406"/>
    <n v="4"/>
    <x v="1"/>
    <n v="39"/>
    <n v="2"/>
    <n v="3"/>
    <x v="3"/>
    <n v="3"/>
    <x v="1"/>
    <n v="7969"/>
    <n v="19609"/>
    <n v="2"/>
    <s v="Y"/>
    <x v="0"/>
    <n v="14"/>
    <n v="3"/>
    <n v="3"/>
    <n v="80"/>
    <n v="0"/>
    <n v="28"/>
    <n v="4"/>
    <n v="3"/>
    <n v="5"/>
    <n v="4"/>
    <n v="0"/>
    <n v="4"/>
  </r>
  <r>
    <x v="28"/>
    <x v="1"/>
    <x v="0"/>
    <n v="192"/>
    <x v="1"/>
    <n v="10"/>
    <n v="2"/>
    <x v="0"/>
    <x v="0"/>
    <x v="407"/>
    <n v="1"/>
    <x v="1"/>
    <n v="69"/>
    <n v="3"/>
    <n v="1"/>
    <x v="1"/>
    <n v="4"/>
    <x v="1"/>
    <n v="2654"/>
    <n v="9655"/>
    <n v="3"/>
    <s v="Y"/>
    <x v="1"/>
    <n v="21"/>
    <n v="4"/>
    <n v="4"/>
    <n v="80"/>
    <n v="2"/>
    <n v="8"/>
    <n v="3"/>
    <n v="2"/>
    <n v="2"/>
    <n v="2"/>
    <n v="0"/>
    <n v="2"/>
  </r>
  <r>
    <x v="39"/>
    <x v="1"/>
    <x v="0"/>
    <n v="1490"/>
    <x v="1"/>
    <n v="4"/>
    <n v="2"/>
    <x v="0"/>
    <x v="0"/>
    <x v="408"/>
    <n v="4"/>
    <x v="0"/>
    <n v="30"/>
    <n v="3"/>
    <n v="4"/>
    <x v="5"/>
    <n v="4"/>
    <x v="1"/>
    <n v="16555"/>
    <n v="10310"/>
    <n v="2"/>
    <s v="Y"/>
    <x v="1"/>
    <n v="13"/>
    <n v="3"/>
    <n v="4"/>
    <n v="80"/>
    <n v="0"/>
    <n v="31"/>
    <n v="2"/>
    <n v="1"/>
    <n v="5"/>
    <n v="2"/>
    <n v="1"/>
    <n v="4"/>
  </r>
  <r>
    <x v="19"/>
    <x v="1"/>
    <x v="1"/>
    <n v="532"/>
    <x v="1"/>
    <n v="29"/>
    <n v="2"/>
    <x v="0"/>
    <x v="0"/>
    <x v="409"/>
    <n v="1"/>
    <x v="0"/>
    <n v="92"/>
    <n v="3"/>
    <n v="2"/>
    <x v="1"/>
    <n v="3"/>
    <x v="2"/>
    <n v="4556"/>
    <n v="12932"/>
    <n v="2"/>
    <s v="Y"/>
    <x v="1"/>
    <n v="11"/>
    <n v="3"/>
    <n v="2"/>
    <n v="80"/>
    <n v="1"/>
    <n v="19"/>
    <n v="3"/>
    <n v="3"/>
    <n v="5"/>
    <n v="4"/>
    <n v="0"/>
    <n v="2"/>
  </r>
  <r>
    <x v="7"/>
    <x v="1"/>
    <x v="0"/>
    <n v="317"/>
    <x v="1"/>
    <n v="2"/>
    <n v="3"/>
    <x v="0"/>
    <x v="0"/>
    <x v="410"/>
    <n v="3"/>
    <x v="0"/>
    <n v="43"/>
    <n v="1"/>
    <n v="2"/>
    <x v="3"/>
    <n v="4"/>
    <x v="0"/>
    <n v="6091"/>
    <n v="24793"/>
    <n v="2"/>
    <s v="Y"/>
    <x v="1"/>
    <n v="20"/>
    <n v="4"/>
    <n v="3"/>
    <n v="80"/>
    <n v="0"/>
    <n v="11"/>
    <n v="2"/>
    <n v="3"/>
    <n v="5"/>
    <n v="4"/>
    <n v="0"/>
    <n v="2"/>
  </r>
  <r>
    <x v="42"/>
    <x v="1"/>
    <x v="0"/>
    <n v="422"/>
    <x v="1"/>
    <n v="7"/>
    <n v="3"/>
    <x v="0"/>
    <x v="0"/>
    <x v="411"/>
    <n v="1"/>
    <x v="0"/>
    <n v="41"/>
    <n v="3"/>
    <n v="5"/>
    <x v="5"/>
    <n v="1"/>
    <x v="1"/>
    <n v="19566"/>
    <n v="3854"/>
    <n v="5"/>
    <s v="Y"/>
    <x v="1"/>
    <n v="11"/>
    <n v="3"/>
    <n v="4"/>
    <n v="80"/>
    <n v="0"/>
    <n v="33"/>
    <n v="5"/>
    <n v="1"/>
    <n v="29"/>
    <n v="8"/>
    <n v="11"/>
    <n v="10"/>
  </r>
  <r>
    <x v="21"/>
    <x v="1"/>
    <x v="0"/>
    <n v="1485"/>
    <x v="1"/>
    <n v="18"/>
    <n v="3"/>
    <x v="2"/>
    <x v="0"/>
    <x v="412"/>
    <n v="3"/>
    <x v="0"/>
    <n v="87"/>
    <n v="3"/>
    <n v="2"/>
    <x v="3"/>
    <n v="3"/>
    <x v="2"/>
    <n v="4810"/>
    <n v="26314"/>
    <n v="2"/>
    <s v="Y"/>
    <x v="1"/>
    <n v="14"/>
    <n v="3"/>
    <n v="3"/>
    <n v="80"/>
    <n v="1"/>
    <n v="19"/>
    <n v="5"/>
    <n v="2"/>
    <n v="10"/>
    <n v="7"/>
    <n v="0"/>
    <n v="8"/>
  </r>
  <r>
    <x v="19"/>
    <x v="1"/>
    <x v="1"/>
    <n v="1368"/>
    <x v="1"/>
    <n v="28"/>
    <n v="4"/>
    <x v="4"/>
    <x v="0"/>
    <x v="413"/>
    <n v="4"/>
    <x v="0"/>
    <n v="88"/>
    <n v="2"/>
    <n v="2"/>
    <x v="4"/>
    <n v="4"/>
    <x v="1"/>
    <n v="4523"/>
    <n v="4386"/>
    <n v="0"/>
    <s v="Y"/>
    <x v="1"/>
    <n v="11"/>
    <n v="3"/>
    <n v="4"/>
    <n v="80"/>
    <n v="3"/>
    <n v="7"/>
    <n v="4"/>
    <n v="4"/>
    <n v="6"/>
    <n v="5"/>
    <n v="0"/>
    <n v="4"/>
  </r>
  <r>
    <x v="17"/>
    <x v="0"/>
    <x v="0"/>
    <n v="1448"/>
    <x v="0"/>
    <n v="1"/>
    <n v="1"/>
    <x v="4"/>
    <x v="0"/>
    <x v="414"/>
    <n v="1"/>
    <x v="0"/>
    <n v="62"/>
    <n v="3"/>
    <n v="1"/>
    <x v="6"/>
    <n v="2"/>
    <x v="0"/>
    <n v="3202"/>
    <n v="21972"/>
    <n v="1"/>
    <s v="Y"/>
    <x v="0"/>
    <n v="16"/>
    <n v="3"/>
    <n v="2"/>
    <n v="80"/>
    <n v="0"/>
    <n v="6"/>
    <n v="4"/>
    <n v="3"/>
    <n v="5"/>
    <n v="3"/>
    <n v="1"/>
    <n v="4"/>
  </r>
  <r>
    <x v="13"/>
    <x v="0"/>
    <x v="1"/>
    <n v="296"/>
    <x v="0"/>
    <n v="6"/>
    <n v="2"/>
    <x v="3"/>
    <x v="0"/>
    <x v="415"/>
    <n v="4"/>
    <x v="0"/>
    <n v="33"/>
    <n v="1"/>
    <n v="1"/>
    <x v="6"/>
    <n v="3"/>
    <x v="2"/>
    <n v="2351"/>
    <n v="12253"/>
    <n v="0"/>
    <s v="Y"/>
    <x v="1"/>
    <n v="16"/>
    <n v="3"/>
    <n v="4"/>
    <n v="80"/>
    <n v="1"/>
    <n v="3"/>
    <n v="3"/>
    <n v="2"/>
    <n v="2"/>
    <n v="2"/>
    <n v="1"/>
    <n v="0"/>
  </r>
  <r>
    <x v="8"/>
    <x v="1"/>
    <x v="1"/>
    <n v="1490"/>
    <x v="1"/>
    <n v="2"/>
    <n v="2"/>
    <x v="0"/>
    <x v="0"/>
    <x v="416"/>
    <n v="4"/>
    <x v="1"/>
    <n v="42"/>
    <n v="3"/>
    <n v="1"/>
    <x v="2"/>
    <n v="4"/>
    <x v="1"/>
    <n v="1702"/>
    <n v="12106"/>
    <n v="1"/>
    <s v="Y"/>
    <x v="0"/>
    <n v="23"/>
    <n v="4"/>
    <n v="3"/>
    <n v="80"/>
    <n v="1"/>
    <n v="1"/>
    <n v="3"/>
    <n v="3"/>
    <n v="1"/>
    <n v="0"/>
    <n v="0"/>
    <n v="0"/>
  </r>
  <r>
    <x v="32"/>
    <x v="1"/>
    <x v="0"/>
    <n v="1398"/>
    <x v="0"/>
    <n v="2"/>
    <n v="4"/>
    <x v="0"/>
    <x v="0"/>
    <x v="417"/>
    <n v="3"/>
    <x v="0"/>
    <n v="79"/>
    <n v="3"/>
    <n v="5"/>
    <x v="5"/>
    <n v="3"/>
    <x v="1"/>
    <n v="18041"/>
    <n v="13022"/>
    <n v="0"/>
    <s v="Y"/>
    <x v="1"/>
    <n v="14"/>
    <n v="3"/>
    <n v="4"/>
    <n v="80"/>
    <n v="0"/>
    <n v="21"/>
    <n v="2"/>
    <n v="3"/>
    <n v="20"/>
    <n v="15"/>
    <n v="1"/>
    <n v="12"/>
  </r>
  <r>
    <x v="25"/>
    <x v="1"/>
    <x v="0"/>
    <n v="1349"/>
    <x v="1"/>
    <n v="23"/>
    <n v="3"/>
    <x v="0"/>
    <x v="0"/>
    <x v="418"/>
    <n v="1"/>
    <x v="0"/>
    <n v="90"/>
    <n v="3"/>
    <n v="1"/>
    <x v="1"/>
    <n v="4"/>
    <x v="2"/>
    <n v="2886"/>
    <n v="3032"/>
    <n v="1"/>
    <s v="Y"/>
    <x v="1"/>
    <n v="22"/>
    <n v="4"/>
    <n v="2"/>
    <n v="80"/>
    <n v="2"/>
    <n v="3"/>
    <n v="3"/>
    <n v="1"/>
    <n v="3"/>
    <n v="2"/>
    <n v="0"/>
    <n v="2"/>
  </r>
  <r>
    <x v="7"/>
    <x v="1"/>
    <x v="2"/>
    <n v="1400"/>
    <x v="1"/>
    <n v="3"/>
    <n v="3"/>
    <x v="0"/>
    <x v="0"/>
    <x v="419"/>
    <n v="3"/>
    <x v="1"/>
    <n v="53"/>
    <n v="3"/>
    <n v="1"/>
    <x v="2"/>
    <n v="4"/>
    <x v="1"/>
    <n v="2097"/>
    <n v="16734"/>
    <n v="4"/>
    <s v="Y"/>
    <x v="1"/>
    <n v="15"/>
    <n v="3"/>
    <n v="3"/>
    <n v="80"/>
    <n v="1"/>
    <n v="9"/>
    <n v="3"/>
    <n v="1"/>
    <n v="5"/>
    <n v="3"/>
    <n v="1"/>
    <n v="4"/>
  </r>
  <r>
    <x v="11"/>
    <x v="1"/>
    <x v="0"/>
    <n v="986"/>
    <x v="1"/>
    <n v="3"/>
    <n v="4"/>
    <x v="2"/>
    <x v="0"/>
    <x v="420"/>
    <n v="2"/>
    <x v="1"/>
    <n v="93"/>
    <n v="2"/>
    <n v="3"/>
    <x v="7"/>
    <n v="3"/>
    <x v="1"/>
    <n v="11935"/>
    <n v="21526"/>
    <n v="1"/>
    <s v="Y"/>
    <x v="1"/>
    <n v="18"/>
    <n v="3"/>
    <n v="3"/>
    <n v="80"/>
    <n v="0"/>
    <n v="10"/>
    <n v="2"/>
    <n v="3"/>
    <n v="10"/>
    <n v="2"/>
    <n v="0"/>
    <n v="7"/>
  </r>
  <r>
    <x v="11"/>
    <x v="0"/>
    <x v="0"/>
    <n v="408"/>
    <x v="1"/>
    <n v="25"/>
    <n v="5"/>
    <x v="4"/>
    <x v="0"/>
    <x v="421"/>
    <n v="3"/>
    <x v="0"/>
    <n v="71"/>
    <n v="2"/>
    <n v="1"/>
    <x v="1"/>
    <n v="2"/>
    <x v="1"/>
    <n v="2546"/>
    <n v="18300"/>
    <n v="5"/>
    <s v="Y"/>
    <x v="1"/>
    <n v="16"/>
    <n v="3"/>
    <n v="2"/>
    <n v="80"/>
    <n v="0"/>
    <n v="6"/>
    <n v="2"/>
    <n v="4"/>
    <n v="2"/>
    <n v="2"/>
    <n v="1"/>
    <n v="1"/>
  </r>
  <r>
    <x v="37"/>
    <x v="0"/>
    <x v="0"/>
    <n v="489"/>
    <x v="2"/>
    <n v="2"/>
    <n v="2"/>
    <x v="4"/>
    <x v="0"/>
    <x v="422"/>
    <n v="1"/>
    <x v="1"/>
    <n v="52"/>
    <n v="2"/>
    <n v="1"/>
    <x v="8"/>
    <n v="4"/>
    <x v="0"/>
    <n v="2564"/>
    <n v="18437"/>
    <n v="1"/>
    <s v="Y"/>
    <x v="1"/>
    <n v="12"/>
    <n v="3"/>
    <n v="3"/>
    <n v="80"/>
    <n v="0"/>
    <n v="1"/>
    <n v="3"/>
    <n v="4"/>
    <n v="1"/>
    <n v="0"/>
    <n v="0"/>
    <n v="0"/>
  </r>
  <r>
    <x v="7"/>
    <x v="1"/>
    <x v="2"/>
    <n v="1398"/>
    <x v="0"/>
    <n v="22"/>
    <n v="4"/>
    <x v="1"/>
    <x v="0"/>
    <x v="423"/>
    <n v="3"/>
    <x v="0"/>
    <n v="69"/>
    <n v="3"/>
    <n v="3"/>
    <x v="0"/>
    <n v="1"/>
    <x v="1"/>
    <n v="8412"/>
    <n v="2890"/>
    <n v="0"/>
    <s v="Y"/>
    <x v="1"/>
    <n v="11"/>
    <n v="3"/>
    <n v="3"/>
    <n v="80"/>
    <n v="0"/>
    <n v="10"/>
    <n v="3"/>
    <n v="3"/>
    <n v="9"/>
    <n v="8"/>
    <n v="7"/>
    <n v="8"/>
  </r>
  <r>
    <x v="38"/>
    <x v="1"/>
    <x v="0"/>
    <n v="210"/>
    <x v="0"/>
    <n v="29"/>
    <n v="3"/>
    <x v="3"/>
    <x v="0"/>
    <x v="424"/>
    <n v="1"/>
    <x v="1"/>
    <n v="56"/>
    <n v="2"/>
    <n v="4"/>
    <x v="5"/>
    <n v="4"/>
    <x v="2"/>
    <n v="14118"/>
    <n v="22102"/>
    <n v="3"/>
    <s v="Y"/>
    <x v="1"/>
    <n v="12"/>
    <n v="3"/>
    <n v="3"/>
    <n v="80"/>
    <n v="1"/>
    <n v="32"/>
    <n v="3"/>
    <n v="2"/>
    <n v="1"/>
    <n v="0"/>
    <n v="0"/>
    <n v="0"/>
  </r>
  <r>
    <x v="24"/>
    <x v="1"/>
    <x v="0"/>
    <n v="1099"/>
    <x v="1"/>
    <n v="29"/>
    <n v="4"/>
    <x v="0"/>
    <x v="0"/>
    <x v="425"/>
    <n v="2"/>
    <x v="1"/>
    <n v="88"/>
    <n v="2"/>
    <n v="4"/>
    <x v="5"/>
    <n v="3"/>
    <x v="1"/>
    <n v="17046"/>
    <n v="9314"/>
    <n v="0"/>
    <s v="Y"/>
    <x v="1"/>
    <n v="15"/>
    <n v="3"/>
    <n v="2"/>
    <n v="80"/>
    <n v="1"/>
    <n v="28"/>
    <n v="2"/>
    <n v="3"/>
    <n v="27"/>
    <n v="10"/>
    <n v="15"/>
    <n v="7"/>
  </r>
  <r>
    <x v="7"/>
    <x v="1"/>
    <x v="2"/>
    <n v="1116"/>
    <x v="1"/>
    <n v="2"/>
    <n v="3"/>
    <x v="2"/>
    <x v="0"/>
    <x v="426"/>
    <n v="3"/>
    <x v="0"/>
    <n v="49"/>
    <n v="3"/>
    <n v="1"/>
    <x v="2"/>
    <n v="4"/>
    <x v="0"/>
    <n v="2564"/>
    <n v="7181"/>
    <n v="0"/>
    <s v="Y"/>
    <x v="1"/>
    <n v="14"/>
    <n v="3"/>
    <n v="3"/>
    <n v="80"/>
    <n v="0"/>
    <n v="12"/>
    <n v="2"/>
    <n v="2"/>
    <n v="11"/>
    <n v="7"/>
    <n v="6"/>
    <n v="7"/>
  </r>
  <r>
    <x v="42"/>
    <x v="1"/>
    <x v="1"/>
    <n v="1499"/>
    <x v="0"/>
    <n v="28"/>
    <n v="3"/>
    <x v="3"/>
    <x v="0"/>
    <x v="427"/>
    <n v="3"/>
    <x v="0"/>
    <n v="80"/>
    <n v="2"/>
    <n v="3"/>
    <x v="0"/>
    <n v="1"/>
    <x v="1"/>
    <n v="10266"/>
    <n v="2845"/>
    <n v="4"/>
    <s v="Y"/>
    <x v="1"/>
    <n v="19"/>
    <n v="3"/>
    <n v="4"/>
    <n v="80"/>
    <n v="0"/>
    <n v="22"/>
    <n v="5"/>
    <n v="4"/>
    <n v="18"/>
    <n v="13"/>
    <n v="13"/>
    <n v="11"/>
  </r>
  <r>
    <x v="40"/>
    <x v="1"/>
    <x v="0"/>
    <n v="983"/>
    <x v="1"/>
    <n v="2"/>
    <n v="2"/>
    <x v="2"/>
    <x v="0"/>
    <x v="428"/>
    <n v="1"/>
    <x v="0"/>
    <n v="65"/>
    <n v="3"/>
    <n v="2"/>
    <x v="3"/>
    <n v="4"/>
    <x v="2"/>
    <n v="5070"/>
    <n v="7389"/>
    <n v="5"/>
    <s v="Y"/>
    <x v="1"/>
    <n v="13"/>
    <n v="3"/>
    <n v="3"/>
    <n v="80"/>
    <n v="3"/>
    <n v="20"/>
    <n v="2"/>
    <n v="3"/>
    <n v="5"/>
    <n v="0"/>
    <n v="0"/>
    <n v="4"/>
  </r>
  <r>
    <x v="21"/>
    <x v="1"/>
    <x v="0"/>
    <n v="1009"/>
    <x v="1"/>
    <n v="2"/>
    <n v="3"/>
    <x v="0"/>
    <x v="0"/>
    <x v="429"/>
    <n v="1"/>
    <x v="1"/>
    <n v="51"/>
    <n v="3"/>
    <n v="4"/>
    <x v="7"/>
    <n v="3"/>
    <x v="1"/>
    <n v="17861"/>
    <n v="2288"/>
    <n v="6"/>
    <s v="Y"/>
    <x v="1"/>
    <n v="13"/>
    <n v="3"/>
    <n v="3"/>
    <n v="80"/>
    <n v="0"/>
    <n v="26"/>
    <n v="2"/>
    <n v="1"/>
    <n v="3"/>
    <n v="2"/>
    <n v="0"/>
    <n v="1"/>
  </r>
  <r>
    <x v="10"/>
    <x v="1"/>
    <x v="0"/>
    <n v="144"/>
    <x v="1"/>
    <n v="22"/>
    <n v="3"/>
    <x v="0"/>
    <x v="0"/>
    <x v="430"/>
    <n v="4"/>
    <x v="1"/>
    <n v="46"/>
    <n v="1"/>
    <n v="1"/>
    <x v="2"/>
    <n v="3"/>
    <x v="0"/>
    <n v="4230"/>
    <n v="19225"/>
    <n v="0"/>
    <s v="Y"/>
    <x v="1"/>
    <n v="15"/>
    <n v="3"/>
    <n v="3"/>
    <n v="80"/>
    <n v="0"/>
    <n v="6"/>
    <n v="2"/>
    <n v="3"/>
    <n v="5"/>
    <n v="4"/>
    <n v="4"/>
    <n v="3"/>
  </r>
  <r>
    <x v="33"/>
    <x v="1"/>
    <x v="0"/>
    <n v="548"/>
    <x v="1"/>
    <n v="8"/>
    <n v="4"/>
    <x v="0"/>
    <x v="0"/>
    <x v="431"/>
    <n v="3"/>
    <x v="0"/>
    <n v="42"/>
    <n v="3"/>
    <n v="2"/>
    <x v="2"/>
    <n v="3"/>
    <x v="0"/>
    <n v="3780"/>
    <n v="23428"/>
    <n v="7"/>
    <s v="Y"/>
    <x v="1"/>
    <n v="11"/>
    <n v="3"/>
    <n v="3"/>
    <n v="80"/>
    <n v="0"/>
    <n v="19"/>
    <n v="3"/>
    <n v="3"/>
    <n v="1"/>
    <n v="0"/>
    <n v="0"/>
    <n v="0"/>
  </r>
  <r>
    <x v="13"/>
    <x v="1"/>
    <x v="0"/>
    <n v="1303"/>
    <x v="1"/>
    <n v="2"/>
    <n v="4"/>
    <x v="0"/>
    <x v="0"/>
    <x v="432"/>
    <n v="4"/>
    <x v="1"/>
    <n v="62"/>
    <n v="2"/>
    <n v="1"/>
    <x v="1"/>
    <n v="3"/>
    <x v="2"/>
    <n v="2768"/>
    <n v="8416"/>
    <n v="3"/>
    <s v="Y"/>
    <x v="1"/>
    <n v="12"/>
    <n v="3"/>
    <n v="3"/>
    <n v="80"/>
    <n v="1"/>
    <n v="14"/>
    <n v="3"/>
    <n v="3"/>
    <n v="7"/>
    <n v="3"/>
    <n v="5"/>
    <n v="7"/>
  </r>
  <r>
    <x v="21"/>
    <x v="1"/>
    <x v="0"/>
    <n v="1125"/>
    <x v="0"/>
    <n v="10"/>
    <n v="3"/>
    <x v="3"/>
    <x v="0"/>
    <x v="433"/>
    <n v="3"/>
    <x v="0"/>
    <n v="94"/>
    <n v="2"/>
    <n v="3"/>
    <x v="0"/>
    <n v="4"/>
    <x v="1"/>
    <n v="9071"/>
    <n v="11563"/>
    <n v="2"/>
    <s v="Y"/>
    <x v="0"/>
    <n v="19"/>
    <n v="3"/>
    <n v="3"/>
    <n v="80"/>
    <n v="1"/>
    <n v="15"/>
    <n v="3"/>
    <n v="3"/>
    <n v="3"/>
    <n v="2"/>
    <n v="1"/>
    <n v="2"/>
  </r>
  <r>
    <x v="12"/>
    <x v="1"/>
    <x v="0"/>
    <n v="1274"/>
    <x v="1"/>
    <n v="9"/>
    <n v="1"/>
    <x v="0"/>
    <x v="0"/>
    <x v="434"/>
    <n v="3"/>
    <x v="1"/>
    <n v="33"/>
    <n v="3"/>
    <n v="3"/>
    <x v="3"/>
    <n v="2"/>
    <x v="2"/>
    <n v="10648"/>
    <n v="14394"/>
    <n v="1"/>
    <s v="Y"/>
    <x v="1"/>
    <n v="25"/>
    <n v="4"/>
    <n v="4"/>
    <n v="80"/>
    <n v="1"/>
    <n v="13"/>
    <n v="6"/>
    <n v="4"/>
    <n v="13"/>
    <n v="8"/>
    <n v="0"/>
    <n v="8"/>
  </r>
  <r>
    <x v="3"/>
    <x v="0"/>
    <x v="0"/>
    <n v="1277"/>
    <x v="1"/>
    <n v="15"/>
    <n v="1"/>
    <x v="2"/>
    <x v="0"/>
    <x v="435"/>
    <n v="2"/>
    <x v="1"/>
    <n v="56"/>
    <n v="3"/>
    <n v="3"/>
    <x v="5"/>
    <n v="3"/>
    <x v="1"/>
    <n v="13610"/>
    <n v="24619"/>
    <n v="7"/>
    <s v="Y"/>
    <x v="0"/>
    <n v="12"/>
    <n v="3"/>
    <n v="4"/>
    <n v="80"/>
    <n v="0"/>
    <n v="15"/>
    <n v="2"/>
    <n v="4"/>
    <n v="7"/>
    <n v="6"/>
    <n v="7"/>
    <n v="7"/>
  </r>
  <r>
    <x v="3"/>
    <x v="0"/>
    <x v="0"/>
    <n v="587"/>
    <x v="1"/>
    <n v="10"/>
    <n v="1"/>
    <x v="2"/>
    <x v="0"/>
    <x v="436"/>
    <n v="1"/>
    <x v="1"/>
    <n v="38"/>
    <n v="1"/>
    <n v="1"/>
    <x v="2"/>
    <n v="4"/>
    <x v="2"/>
    <n v="3408"/>
    <n v="6705"/>
    <n v="7"/>
    <s v="Y"/>
    <x v="1"/>
    <n v="13"/>
    <n v="3"/>
    <n v="1"/>
    <n v="80"/>
    <n v="3"/>
    <n v="8"/>
    <n v="2"/>
    <n v="3"/>
    <n v="4"/>
    <n v="3"/>
    <n v="1"/>
    <n v="3"/>
  </r>
  <r>
    <x v="7"/>
    <x v="1"/>
    <x v="0"/>
    <n v="413"/>
    <x v="0"/>
    <n v="7"/>
    <n v="1"/>
    <x v="3"/>
    <x v="0"/>
    <x v="437"/>
    <n v="4"/>
    <x v="1"/>
    <n v="57"/>
    <n v="3"/>
    <n v="1"/>
    <x v="6"/>
    <n v="2"/>
    <x v="0"/>
    <n v="2983"/>
    <n v="18398"/>
    <n v="0"/>
    <s v="Y"/>
    <x v="1"/>
    <n v="14"/>
    <n v="3"/>
    <n v="1"/>
    <n v="80"/>
    <n v="0"/>
    <n v="4"/>
    <n v="3"/>
    <n v="3"/>
    <n v="3"/>
    <n v="2"/>
    <n v="1"/>
    <n v="2"/>
  </r>
  <r>
    <x v="10"/>
    <x v="1"/>
    <x v="0"/>
    <n v="1276"/>
    <x v="1"/>
    <n v="16"/>
    <n v="3"/>
    <x v="0"/>
    <x v="0"/>
    <x v="438"/>
    <n v="4"/>
    <x v="1"/>
    <n v="72"/>
    <n v="3"/>
    <n v="3"/>
    <x v="4"/>
    <n v="3"/>
    <x v="1"/>
    <n v="7632"/>
    <n v="14295"/>
    <n v="4"/>
    <s v="Y"/>
    <x v="0"/>
    <n v="12"/>
    <n v="3"/>
    <n v="3"/>
    <n v="80"/>
    <n v="0"/>
    <n v="10"/>
    <n v="2"/>
    <n v="3"/>
    <n v="8"/>
    <n v="7"/>
    <n v="0"/>
    <n v="0"/>
  </r>
  <r>
    <x v="12"/>
    <x v="0"/>
    <x v="1"/>
    <n v="534"/>
    <x v="1"/>
    <n v="20"/>
    <n v="3"/>
    <x v="0"/>
    <x v="0"/>
    <x v="439"/>
    <n v="1"/>
    <x v="1"/>
    <n v="66"/>
    <n v="3"/>
    <n v="3"/>
    <x v="4"/>
    <n v="3"/>
    <x v="1"/>
    <n v="9824"/>
    <n v="22908"/>
    <n v="3"/>
    <s v="Y"/>
    <x v="1"/>
    <n v="12"/>
    <n v="3"/>
    <n v="1"/>
    <n v="80"/>
    <n v="0"/>
    <n v="12"/>
    <n v="2"/>
    <n v="3"/>
    <n v="1"/>
    <n v="0"/>
    <n v="0"/>
    <n v="0"/>
  </r>
  <r>
    <x v="13"/>
    <x v="0"/>
    <x v="1"/>
    <n v="988"/>
    <x v="2"/>
    <n v="23"/>
    <n v="3"/>
    <x v="5"/>
    <x v="0"/>
    <x v="440"/>
    <n v="2"/>
    <x v="0"/>
    <n v="43"/>
    <n v="3"/>
    <n v="3"/>
    <x v="8"/>
    <n v="1"/>
    <x v="2"/>
    <n v="9950"/>
    <n v="11533"/>
    <n v="9"/>
    <s v="Y"/>
    <x v="0"/>
    <n v="15"/>
    <n v="3"/>
    <n v="3"/>
    <n v="80"/>
    <n v="3"/>
    <n v="11"/>
    <n v="2"/>
    <n v="3"/>
    <n v="3"/>
    <n v="2"/>
    <n v="0"/>
    <n v="2"/>
  </r>
  <r>
    <x v="19"/>
    <x v="1"/>
    <x v="1"/>
    <n v="1474"/>
    <x v="1"/>
    <n v="5"/>
    <n v="2"/>
    <x v="1"/>
    <x v="0"/>
    <x v="441"/>
    <n v="2"/>
    <x v="1"/>
    <n v="97"/>
    <n v="3"/>
    <n v="1"/>
    <x v="2"/>
    <n v="3"/>
    <x v="1"/>
    <n v="2093"/>
    <n v="9260"/>
    <n v="4"/>
    <s v="Y"/>
    <x v="1"/>
    <n v="17"/>
    <n v="3"/>
    <n v="4"/>
    <n v="80"/>
    <n v="1"/>
    <n v="8"/>
    <n v="4"/>
    <n v="3"/>
    <n v="2"/>
    <n v="2"/>
    <n v="2"/>
    <n v="0"/>
  </r>
  <r>
    <x v="9"/>
    <x v="1"/>
    <x v="2"/>
    <n v="635"/>
    <x v="0"/>
    <n v="10"/>
    <n v="4"/>
    <x v="2"/>
    <x v="0"/>
    <x v="442"/>
    <n v="2"/>
    <x v="1"/>
    <n v="32"/>
    <n v="3"/>
    <n v="3"/>
    <x v="0"/>
    <n v="4"/>
    <x v="0"/>
    <n v="9980"/>
    <n v="15318"/>
    <n v="1"/>
    <s v="Y"/>
    <x v="1"/>
    <n v="14"/>
    <n v="3"/>
    <n v="4"/>
    <n v="80"/>
    <n v="0"/>
    <n v="10"/>
    <n v="3"/>
    <n v="2"/>
    <n v="10"/>
    <n v="3"/>
    <n v="9"/>
    <n v="7"/>
  </r>
  <r>
    <x v="15"/>
    <x v="0"/>
    <x v="1"/>
    <n v="1368"/>
    <x v="1"/>
    <n v="4"/>
    <n v="1"/>
    <x v="4"/>
    <x v="0"/>
    <x v="443"/>
    <n v="3"/>
    <x v="1"/>
    <n v="99"/>
    <n v="2"/>
    <n v="1"/>
    <x v="2"/>
    <n v="3"/>
    <x v="0"/>
    <n v="3894"/>
    <n v="9129"/>
    <n v="5"/>
    <s v="Y"/>
    <x v="1"/>
    <n v="16"/>
    <n v="3"/>
    <n v="3"/>
    <n v="80"/>
    <n v="0"/>
    <n v="4"/>
    <n v="3"/>
    <n v="3"/>
    <n v="2"/>
    <n v="2"/>
    <n v="1"/>
    <n v="2"/>
  </r>
  <r>
    <x v="26"/>
    <x v="1"/>
    <x v="0"/>
    <n v="163"/>
    <x v="0"/>
    <n v="2"/>
    <n v="5"/>
    <x v="3"/>
    <x v="0"/>
    <x v="444"/>
    <n v="2"/>
    <x v="0"/>
    <n v="37"/>
    <n v="3"/>
    <n v="2"/>
    <x v="0"/>
    <n v="4"/>
    <x v="1"/>
    <n v="4051"/>
    <n v="19658"/>
    <n v="2"/>
    <s v="Y"/>
    <x v="1"/>
    <n v="14"/>
    <n v="3"/>
    <n v="1"/>
    <n v="80"/>
    <n v="1"/>
    <n v="14"/>
    <n v="2"/>
    <n v="3"/>
    <n v="9"/>
    <n v="7"/>
    <n v="6"/>
    <n v="7"/>
  </r>
  <r>
    <x v="27"/>
    <x v="1"/>
    <x v="0"/>
    <n v="1117"/>
    <x v="0"/>
    <n v="18"/>
    <n v="5"/>
    <x v="0"/>
    <x v="0"/>
    <x v="445"/>
    <n v="1"/>
    <x v="0"/>
    <n v="83"/>
    <n v="3"/>
    <n v="4"/>
    <x v="5"/>
    <n v="2"/>
    <x v="0"/>
    <n v="16835"/>
    <n v="9873"/>
    <n v="3"/>
    <s v="Y"/>
    <x v="1"/>
    <n v="23"/>
    <n v="4"/>
    <n v="4"/>
    <n v="80"/>
    <n v="0"/>
    <n v="37"/>
    <n v="2"/>
    <n v="3"/>
    <n v="10"/>
    <n v="9"/>
    <n v="7"/>
    <n v="7"/>
  </r>
  <r>
    <x v="0"/>
    <x v="1"/>
    <x v="2"/>
    <n v="267"/>
    <x v="0"/>
    <n v="10"/>
    <n v="2"/>
    <x v="0"/>
    <x v="0"/>
    <x v="446"/>
    <n v="4"/>
    <x v="1"/>
    <n v="56"/>
    <n v="3"/>
    <n v="2"/>
    <x v="0"/>
    <n v="4"/>
    <x v="0"/>
    <n v="6230"/>
    <n v="13430"/>
    <n v="7"/>
    <s v="Y"/>
    <x v="1"/>
    <n v="14"/>
    <n v="3"/>
    <n v="4"/>
    <n v="80"/>
    <n v="0"/>
    <n v="16"/>
    <n v="3"/>
    <n v="3"/>
    <n v="14"/>
    <n v="3"/>
    <n v="1"/>
    <n v="10"/>
  </r>
  <r>
    <x v="10"/>
    <x v="1"/>
    <x v="0"/>
    <n v="619"/>
    <x v="0"/>
    <n v="1"/>
    <n v="3"/>
    <x v="3"/>
    <x v="0"/>
    <x v="447"/>
    <n v="2"/>
    <x v="1"/>
    <n v="85"/>
    <n v="3"/>
    <n v="2"/>
    <x v="0"/>
    <n v="3"/>
    <x v="1"/>
    <n v="4717"/>
    <n v="18659"/>
    <n v="9"/>
    <s v="Y"/>
    <x v="1"/>
    <n v="11"/>
    <n v="3"/>
    <n v="3"/>
    <n v="80"/>
    <n v="0"/>
    <n v="15"/>
    <n v="2"/>
    <n v="3"/>
    <n v="11"/>
    <n v="9"/>
    <n v="6"/>
    <n v="9"/>
  </r>
  <r>
    <x v="32"/>
    <x v="1"/>
    <x v="0"/>
    <n v="302"/>
    <x v="1"/>
    <n v="6"/>
    <n v="3"/>
    <x v="0"/>
    <x v="0"/>
    <x v="448"/>
    <n v="2"/>
    <x v="0"/>
    <n v="75"/>
    <n v="3"/>
    <n v="4"/>
    <x v="3"/>
    <n v="3"/>
    <x v="0"/>
    <n v="13237"/>
    <n v="20364"/>
    <n v="7"/>
    <s v="Y"/>
    <x v="1"/>
    <n v="15"/>
    <n v="3"/>
    <n v="3"/>
    <n v="80"/>
    <n v="0"/>
    <n v="22"/>
    <n v="3"/>
    <n v="3"/>
    <n v="20"/>
    <n v="6"/>
    <n v="5"/>
    <n v="13"/>
  </r>
  <r>
    <x v="22"/>
    <x v="1"/>
    <x v="1"/>
    <n v="443"/>
    <x v="1"/>
    <n v="8"/>
    <n v="1"/>
    <x v="0"/>
    <x v="0"/>
    <x v="449"/>
    <n v="3"/>
    <x v="0"/>
    <n v="48"/>
    <n v="3"/>
    <n v="1"/>
    <x v="2"/>
    <n v="3"/>
    <x v="1"/>
    <n v="3755"/>
    <n v="17872"/>
    <n v="1"/>
    <s v="Y"/>
    <x v="1"/>
    <n v="11"/>
    <n v="3"/>
    <n v="1"/>
    <n v="80"/>
    <n v="1"/>
    <n v="8"/>
    <n v="3"/>
    <n v="3"/>
    <n v="8"/>
    <n v="3"/>
    <n v="0"/>
    <n v="7"/>
  </r>
  <r>
    <x v="12"/>
    <x v="1"/>
    <x v="0"/>
    <n v="828"/>
    <x v="0"/>
    <n v="2"/>
    <n v="1"/>
    <x v="0"/>
    <x v="0"/>
    <x v="450"/>
    <n v="2"/>
    <x v="1"/>
    <n v="77"/>
    <n v="3"/>
    <n v="2"/>
    <x v="0"/>
    <n v="4"/>
    <x v="0"/>
    <n v="6582"/>
    <n v="8346"/>
    <n v="4"/>
    <s v="Y"/>
    <x v="0"/>
    <n v="13"/>
    <n v="3"/>
    <n v="3"/>
    <n v="80"/>
    <n v="0"/>
    <n v="10"/>
    <n v="2"/>
    <n v="4"/>
    <n v="6"/>
    <n v="5"/>
    <n v="0"/>
    <n v="5"/>
  </r>
  <r>
    <x v="19"/>
    <x v="1"/>
    <x v="0"/>
    <n v="319"/>
    <x v="1"/>
    <n v="24"/>
    <n v="3"/>
    <x v="2"/>
    <x v="0"/>
    <x v="451"/>
    <n v="4"/>
    <x v="1"/>
    <n v="56"/>
    <n v="3"/>
    <n v="3"/>
    <x v="3"/>
    <n v="1"/>
    <x v="1"/>
    <n v="7406"/>
    <n v="6950"/>
    <n v="1"/>
    <s v="Y"/>
    <x v="0"/>
    <n v="21"/>
    <n v="4"/>
    <n v="4"/>
    <n v="80"/>
    <n v="1"/>
    <n v="10"/>
    <n v="5"/>
    <n v="2"/>
    <n v="10"/>
    <n v="9"/>
    <n v="5"/>
    <n v="8"/>
  </r>
  <r>
    <x v="28"/>
    <x v="1"/>
    <x v="0"/>
    <n v="561"/>
    <x v="0"/>
    <n v="2"/>
    <n v="3"/>
    <x v="1"/>
    <x v="0"/>
    <x v="452"/>
    <n v="4"/>
    <x v="1"/>
    <n v="61"/>
    <n v="3"/>
    <n v="2"/>
    <x v="0"/>
    <n v="2"/>
    <x v="1"/>
    <n v="4805"/>
    <n v="16177"/>
    <n v="0"/>
    <s v="Y"/>
    <x v="1"/>
    <n v="19"/>
    <n v="3"/>
    <n v="2"/>
    <n v="80"/>
    <n v="1"/>
    <n v="9"/>
    <n v="3"/>
    <n v="4"/>
    <n v="8"/>
    <n v="7"/>
    <n v="3"/>
    <n v="7"/>
  </r>
  <r>
    <x v="25"/>
    <x v="0"/>
    <x v="1"/>
    <n v="426"/>
    <x v="2"/>
    <n v="17"/>
    <n v="4"/>
    <x v="0"/>
    <x v="0"/>
    <x v="453"/>
    <n v="2"/>
    <x v="0"/>
    <n v="58"/>
    <n v="3"/>
    <n v="1"/>
    <x v="8"/>
    <n v="3"/>
    <x v="2"/>
    <n v="2741"/>
    <n v="22808"/>
    <n v="0"/>
    <s v="Y"/>
    <x v="0"/>
    <n v="11"/>
    <n v="3"/>
    <n v="2"/>
    <n v="80"/>
    <n v="1"/>
    <n v="8"/>
    <n v="2"/>
    <n v="2"/>
    <n v="7"/>
    <n v="7"/>
    <n v="1"/>
    <n v="0"/>
  </r>
  <r>
    <x v="11"/>
    <x v="1"/>
    <x v="0"/>
    <n v="232"/>
    <x v="1"/>
    <n v="19"/>
    <n v="3"/>
    <x v="4"/>
    <x v="0"/>
    <x v="454"/>
    <n v="4"/>
    <x v="1"/>
    <n v="34"/>
    <n v="3"/>
    <n v="2"/>
    <x v="3"/>
    <n v="4"/>
    <x v="2"/>
    <n v="4262"/>
    <n v="22645"/>
    <n v="4"/>
    <s v="Y"/>
    <x v="1"/>
    <n v="12"/>
    <n v="3"/>
    <n v="2"/>
    <n v="80"/>
    <n v="2"/>
    <n v="8"/>
    <n v="2"/>
    <n v="4"/>
    <n v="3"/>
    <n v="2"/>
    <n v="1"/>
    <n v="2"/>
  </r>
  <r>
    <x v="3"/>
    <x v="1"/>
    <x v="0"/>
    <n v="922"/>
    <x v="1"/>
    <n v="1"/>
    <n v="5"/>
    <x v="2"/>
    <x v="0"/>
    <x v="455"/>
    <n v="1"/>
    <x v="0"/>
    <n v="95"/>
    <n v="4"/>
    <n v="4"/>
    <x v="7"/>
    <n v="3"/>
    <x v="2"/>
    <n v="16184"/>
    <n v="22578"/>
    <n v="4"/>
    <s v="Y"/>
    <x v="1"/>
    <n v="19"/>
    <n v="3"/>
    <n v="3"/>
    <n v="80"/>
    <n v="1"/>
    <n v="10"/>
    <n v="2"/>
    <n v="3"/>
    <n v="6"/>
    <n v="1"/>
    <n v="0"/>
    <n v="5"/>
  </r>
  <r>
    <x v="12"/>
    <x v="1"/>
    <x v="0"/>
    <n v="688"/>
    <x v="0"/>
    <n v="7"/>
    <n v="3"/>
    <x v="0"/>
    <x v="0"/>
    <x v="456"/>
    <n v="3"/>
    <x v="1"/>
    <n v="44"/>
    <n v="2"/>
    <n v="3"/>
    <x v="5"/>
    <n v="4"/>
    <x v="2"/>
    <n v="11557"/>
    <n v="25291"/>
    <n v="9"/>
    <s v="Y"/>
    <x v="1"/>
    <n v="21"/>
    <n v="4"/>
    <n v="3"/>
    <n v="80"/>
    <n v="1"/>
    <n v="10"/>
    <n v="3"/>
    <n v="2"/>
    <n v="5"/>
    <n v="4"/>
    <n v="0"/>
    <n v="1"/>
  </r>
  <r>
    <x v="41"/>
    <x v="0"/>
    <x v="1"/>
    <n v="1306"/>
    <x v="0"/>
    <n v="5"/>
    <n v="3"/>
    <x v="3"/>
    <x v="0"/>
    <x v="457"/>
    <n v="2"/>
    <x v="1"/>
    <n v="69"/>
    <n v="3"/>
    <n v="1"/>
    <x v="6"/>
    <n v="2"/>
    <x v="0"/>
    <n v="1878"/>
    <n v="8059"/>
    <n v="1"/>
    <s v="Y"/>
    <x v="0"/>
    <n v="14"/>
    <n v="3"/>
    <n v="4"/>
    <n v="80"/>
    <n v="0"/>
    <n v="0"/>
    <n v="3"/>
    <n v="3"/>
    <n v="0"/>
    <n v="0"/>
    <n v="0"/>
    <n v="0"/>
  </r>
  <r>
    <x v="32"/>
    <x v="1"/>
    <x v="2"/>
    <n v="1094"/>
    <x v="0"/>
    <n v="28"/>
    <n v="3"/>
    <x v="1"/>
    <x v="0"/>
    <x v="458"/>
    <n v="3"/>
    <x v="1"/>
    <n v="58"/>
    <n v="1"/>
    <n v="3"/>
    <x v="0"/>
    <n v="1"/>
    <x v="2"/>
    <n v="10932"/>
    <n v="11373"/>
    <n v="3"/>
    <s v="Y"/>
    <x v="1"/>
    <n v="15"/>
    <n v="3"/>
    <n v="3"/>
    <n v="80"/>
    <n v="1"/>
    <n v="20"/>
    <n v="2"/>
    <n v="3"/>
    <n v="1"/>
    <n v="0"/>
    <n v="0"/>
    <n v="1"/>
  </r>
  <r>
    <x v="0"/>
    <x v="1"/>
    <x v="2"/>
    <n v="509"/>
    <x v="1"/>
    <n v="2"/>
    <n v="4"/>
    <x v="1"/>
    <x v="0"/>
    <x v="459"/>
    <n v="1"/>
    <x v="0"/>
    <n v="62"/>
    <n v="2"/>
    <n v="2"/>
    <x v="4"/>
    <n v="3"/>
    <x v="0"/>
    <n v="6811"/>
    <n v="2112"/>
    <n v="2"/>
    <s v="Y"/>
    <x v="0"/>
    <n v="17"/>
    <n v="3"/>
    <n v="1"/>
    <n v="80"/>
    <n v="0"/>
    <n v="10"/>
    <n v="3"/>
    <n v="3"/>
    <n v="8"/>
    <n v="7"/>
    <n v="0"/>
    <n v="7"/>
  </r>
  <r>
    <x v="25"/>
    <x v="1"/>
    <x v="0"/>
    <n v="775"/>
    <x v="0"/>
    <n v="29"/>
    <n v="2"/>
    <x v="2"/>
    <x v="0"/>
    <x v="460"/>
    <n v="1"/>
    <x v="1"/>
    <n v="45"/>
    <n v="3"/>
    <n v="2"/>
    <x v="0"/>
    <n v="3"/>
    <x v="2"/>
    <n v="4306"/>
    <n v="4267"/>
    <n v="5"/>
    <s v="Y"/>
    <x v="1"/>
    <n v="12"/>
    <n v="3"/>
    <n v="1"/>
    <n v="80"/>
    <n v="2"/>
    <n v="8"/>
    <n v="5"/>
    <n v="3"/>
    <n v="0"/>
    <n v="0"/>
    <n v="0"/>
    <n v="0"/>
  </r>
  <r>
    <x v="10"/>
    <x v="1"/>
    <x v="0"/>
    <n v="195"/>
    <x v="0"/>
    <n v="1"/>
    <n v="3"/>
    <x v="2"/>
    <x v="0"/>
    <x v="461"/>
    <n v="1"/>
    <x v="0"/>
    <n v="80"/>
    <n v="3"/>
    <n v="2"/>
    <x v="0"/>
    <n v="3"/>
    <x v="0"/>
    <n v="4859"/>
    <n v="6698"/>
    <n v="1"/>
    <s v="Y"/>
    <x v="1"/>
    <n v="16"/>
    <n v="3"/>
    <n v="4"/>
    <n v="80"/>
    <n v="0"/>
    <n v="5"/>
    <n v="3"/>
    <n v="3"/>
    <n v="5"/>
    <n v="4"/>
    <n v="0"/>
    <n v="3"/>
  </r>
  <r>
    <x v="13"/>
    <x v="1"/>
    <x v="0"/>
    <n v="258"/>
    <x v="0"/>
    <n v="21"/>
    <n v="4"/>
    <x v="0"/>
    <x v="0"/>
    <x v="462"/>
    <n v="4"/>
    <x v="1"/>
    <n v="74"/>
    <n v="4"/>
    <n v="2"/>
    <x v="0"/>
    <n v="4"/>
    <x v="0"/>
    <n v="5337"/>
    <n v="19921"/>
    <n v="1"/>
    <s v="Y"/>
    <x v="1"/>
    <n v="12"/>
    <n v="3"/>
    <n v="4"/>
    <n v="80"/>
    <n v="0"/>
    <n v="10"/>
    <n v="3"/>
    <n v="3"/>
    <n v="10"/>
    <n v="7"/>
    <n v="5"/>
    <n v="7"/>
  </r>
  <r>
    <x v="25"/>
    <x v="0"/>
    <x v="0"/>
    <n v="471"/>
    <x v="1"/>
    <n v="24"/>
    <n v="3"/>
    <x v="4"/>
    <x v="0"/>
    <x v="463"/>
    <n v="3"/>
    <x v="1"/>
    <n v="66"/>
    <n v="1"/>
    <n v="1"/>
    <x v="2"/>
    <n v="4"/>
    <x v="0"/>
    <n v="2340"/>
    <n v="23213"/>
    <n v="1"/>
    <s v="Y"/>
    <x v="0"/>
    <n v="18"/>
    <n v="3"/>
    <n v="2"/>
    <n v="80"/>
    <n v="0"/>
    <n v="1"/>
    <n v="3"/>
    <n v="1"/>
    <n v="1"/>
    <n v="0"/>
    <n v="0"/>
    <n v="0"/>
  </r>
  <r>
    <x v="2"/>
    <x v="1"/>
    <x v="0"/>
    <n v="799"/>
    <x v="1"/>
    <n v="1"/>
    <n v="3"/>
    <x v="4"/>
    <x v="0"/>
    <x v="464"/>
    <n v="2"/>
    <x v="0"/>
    <n v="59"/>
    <n v="3"/>
    <n v="3"/>
    <x v="3"/>
    <n v="4"/>
    <x v="0"/>
    <n v="7491"/>
    <n v="23848"/>
    <n v="4"/>
    <s v="Y"/>
    <x v="1"/>
    <n v="17"/>
    <n v="3"/>
    <n v="4"/>
    <n v="80"/>
    <n v="0"/>
    <n v="12"/>
    <n v="3"/>
    <n v="4"/>
    <n v="6"/>
    <n v="5"/>
    <n v="1"/>
    <n v="2"/>
  </r>
  <r>
    <x v="21"/>
    <x v="1"/>
    <x v="1"/>
    <n v="1034"/>
    <x v="1"/>
    <n v="18"/>
    <n v="1"/>
    <x v="2"/>
    <x v="0"/>
    <x v="465"/>
    <n v="1"/>
    <x v="0"/>
    <n v="86"/>
    <n v="3"/>
    <n v="3"/>
    <x v="4"/>
    <n v="3"/>
    <x v="1"/>
    <n v="10527"/>
    <n v="8984"/>
    <n v="5"/>
    <s v="Y"/>
    <x v="1"/>
    <n v="11"/>
    <n v="3"/>
    <n v="4"/>
    <n v="80"/>
    <n v="0"/>
    <n v="28"/>
    <n v="3"/>
    <n v="2"/>
    <n v="2"/>
    <n v="2"/>
    <n v="1"/>
    <n v="2"/>
  </r>
  <r>
    <x v="0"/>
    <x v="1"/>
    <x v="0"/>
    <n v="1276"/>
    <x v="0"/>
    <n v="2"/>
    <n v="5"/>
    <x v="0"/>
    <x v="0"/>
    <x v="466"/>
    <n v="2"/>
    <x v="0"/>
    <n v="91"/>
    <n v="3"/>
    <n v="4"/>
    <x v="5"/>
    <n v="1"/>
    <x v="1"/>
    <n v="16595"/>
    <n v="5626"/>
    <n v="7"/>
    <s v="Y"/>
    <x v="1"/>
    <n v="16"/>
    <n v="3"/>
    <n v="2"/>
    <n v="80"/>
    <n v="1"/>
    <n v="22"/>
    <n v="2"/>
    <n v="3"/>
    <n v="18"/>
    <n v="16"/>
    <n v="11"/>
    <n v="8"/>
  </r>
  <r>
    <x v="2"/>
    <x v="1"/>
    <x v="2"/>
    <n v="142"/>
    <x v="0"/>
    <n v="9"/>
    <n v="4"/>
    <x v="2"/>
    <x v="0"/>
    <x v="467"/>
    <n v="1"/>
    <x v="1"/>
    <n v="69"/>
    <n v="3"/>
    <n v="3"/>
    <x v="0"/>
    <n v="2"/>
    <x v="2"/>
    <n v="8834"/>
    <n v="24666"/>
    <n v="1"/>
    <s v="Y"/>
    <x v="1"/>
    <n v="13"/>
    <n v="3"/>
    <n v="4"/>
    <n v="80"/>
    <n v="1"/>
    <n v="9"/>
    <n v="6"/>
    <n v="3"/>
    <n v="9"/>
    <n v="5"/>
    <n v="7"/>
    <n v="7"/>
  </r>
  <r>
    <x v="39"/>
    <x v="1"/>
    <x v="0"/>
    <n v="956"/>
    <x v="1"/>
    <n v="6"/>
    <n v="2"/>
    <x v="4"/>
    <x v="0"/>
    <x v="468"/>
    <n v="4"/>
    <x v="1"/>
    <n v="78"/>
    <n v="3"/>
    <n v="2"/>
    <x v="1"/>
    <n v="1"/>
    <x v="2"/>
    <n v="5577"/>
    <n v="22087"/>
    <n v="3"/>
    <s v="Y"/>
    <x v="0"/>
    <n v="12"/>
    <n v="3"/>
    <n v="2"/>
    <n v="80"/>
    <n v="2"/>
    <n v="18"/>
    <n v="3"/>
    <n v="3"/>
    <n v="10"/>
    <n v="9"/>
    <n v="6"/>
    <n v="9"/>
  </r>
  <r>
    <x v="5"/>
    <x v="0"/>
    <x v="2"/>
    <n v="1474"/>
    <x v="0"/>
    <n v="11"/>
    <n v="4"/>
    <x v="1"/>
    <x v="0"/>
    <x v="469"/>
    <n v="4"/>
    <x v="1"/>
    <n v="60"/>
    <n v="4"/>
    <n v="2"/>
    <x v="0"/>
    <n v="3"/>
    <x v="1"/>
    <n v="4707"/>
    <n v="23914"/>
    <n v="8"/>
    <s v="Y"/>
    <x v="1"/>
    <n v="12"/>
    <n v="3"/>
    <n v="4"/>
    <n v="80"/>
    <n v="0"/>
    <n v="6"/>
    <n v="2"/>
    <n v="3"/>
    <n v="4"/>
    <n v="2"/>
    <n v="1"/>
    <n v="2"/>
  </r>
  <r>
    <x v="17"/>
    <x v="1"/>
    <x v="1"/>
    <n v="535"/>
    <x v="0"/>
    <n v="24"/>
    <n v="3"/>
    <x v="2"/>
    <x v="0"/>
    <x v="470"/>
    <n v="4"/>
    <x v="1"/>
    <n v="38"/>
    <n v="3"/>
    <n v="1"/>
    <x v="6"/>
    <n v="4"/>
    <x v="1"/>
    <n v="2400"/>
    <n v="5530"/>
    <n v="0"/>
    <s v="Y"/>
    <x v="1"/>
    <n v="13"/>
    <n v="3"/>
    <n v="3"/>
    <n v="80"/>
    <n v="2"/>
    <n v="3"/>
    <n v="3"/>
    <n v="3"/>
    <n v="2"/>
    <n v="2"/>
    <n v="2"/>
    <n v="1"/>
  </r>
  <r>
    <x v="8"/>
    <x v="1"/>
    <x v="0"/>
    <n v="1495"/>
    <x v="1"/>
    <n v="10"/>
    <n v="3"/>
    <x v="2"/>
    <x v="0"/>
    <x v="471"/>
    <n v="3"/>
    <x v="0"/>
    <n v="76"/>
    <n v="3"/>
    <n v="2"/>
    <x v="4"/>
    <n v="3"/>
    <x v="1"/>
    <n v="9824"/>
    <n v="22174"/>
    <n v="3"/>
    <s v="Y"/>
    <x v="1"/>
    <n v="19"/>
    <n v="3"/>
    <n v="3"/>
    <n v="80"/>
    <n v="1"/>
    <n v="18"/>
    <n v="4"/>
    <n v="3"/>
    <n v="1"/>
    <n v="0"/>
    <n v="0"/>
    <n v="0"/>
  </r>
  <r>
    <x v="2"/>
    <x v="1"/>
    <x v="0"/>
    <n v="446"/>
    <x v="1"/>
    <n v="1"/>
    <n v="4"/>
    <x v="0"/>
    <x v="0"/>
    <x v="472"/>
    <n v="2"/>
    <x v="0"/>
    <n v="65"/>
    <n v="3"/>
    <n v="2"/>
    <x v="3"/>
    <n v="2"/>
    <x v="1"/>
    <n v="6447"/>
    <n v="15701"/>
    <n v="6"/>
    <s v="Y"/>
    <x v="1"/>
    <n v="12"/>
    <n v="3"/>
    <n v="2"/>
    <n v="80"/>
    <n v="1"/>
    <n v="8"/>
    <n v="2"/>
    <n v="2"/>
    <n v="6"/>
    <n v="5"/>
    <n v="4"/>
    <n v="3"/>
  </r>
  <r>
    <x v="1"/>
    <x v="1"/>
    <x v="0"/>
    <n v="1245"/>
    <x v="1"/>
    <n v="18"/>
    <n v="4"/>
    <x v="0"/>
    <x v="0"/>
    <x v="473"/>
    <n v="4"/>
    <x v="1"/>
    <n v="58"/>
    <n v="2"/>
    <n v="5"/>
    <x v="7"/>
    <n v="3"/>
    <x v="2"/>
    <n v="19502"/>
    <n v="2125"/>
    <n v="1"/>
    <s v="Y"/>
    <x v="0"/>
    <n v="17"/>
    <n v="3"/>
    <n v="3"/>
    <n v="80"/>
    <n v="1"/>
    <n v="31"/>
    <n v="5"/>
    <n v="3"/>
    <n v="31"/>
    <n v="9"/>
    <n v="0"/>
    <n v="9"/>
  </r>
  <r>
    <x v="17"/>
    <x v="1"/>
    <x v="0"/>
    <n v="691"/>
    <x v="1"/>
    <n v="23"/>
    <n v="3"/>
    <x v="2"/>
    <x v="0"/>
    <x v="474"/>
    <n v="2"/>
    <x v="1"/>
    <n v="89"/>
    <n v="4"/>
    <n v="1"/>
    <x v="1"/>
    <n v="4"/>
    <x v="1"/>
    <n v="2725"/>
    <n v="21630"/>
    <n v="1"/>
    <s v="Y"/>
    <x v="0"/>
    <n v="11"/>
    <n v="3"/>
    <n v="2"/>
    <n v="80"/>
    <n v="2"/>
    <n v="6"/>
    <n v="3"/>
    <n v="3"/>
    <n v="6"/>
    <n v="5"/>
    <n v="1"/>
    <n v="4"/>
  </r>
  <r>
    <x v="25"/>
    <x v="1"/>
    <x v="0"/>
    <n v="703"/>
    <x v="0"/>
    <n v="28"/>
    <n v="2"/>
    <x v="3"/>
    <x v="0"/>
    <x v="475"/>
    <n v="1"/>
    <x v="1"/>
    <n v="66"/>
    <n v="3"/>
    <n v="2"/>
    <x v="0"/>
    <n v="2"/>
    <x v="1"/>
    <n v="6272"/>
    <n v="7428"/>
    <n v="1"/>
    <s v="Y"/>
    <x v="1"/>
    <n v="20"/>
    <n v="4"/>
    <n v="4"/>
    <n v="80"/>
    <n v="2"/>
    <n v="6"/>
    <n v="5"/>
    <n v="4"/>
    <n v="5"/>
    <n v="3"/>
    <n v="1"/>
    <n v="4"/>
  </r>
  <r>
    <x v="17"/>
    <x v="1"/>
    <x v="0"/>
    <n v="823"/>
    <x v="1"/>
    <n v="17"/>
    <n v="2"/>
    <x v="1"/>
    <x v="0"/>
    <x v="476"/>
    <n v="4"/>
    <x v="1"/>
    <n v="94"/>
    <n v="2"/>
    <n v="1"/>
    <x v="2"/>
    <n v="2"/>
    <x v="1"/>
    <n v="2127"/>
    <n v="9100"/>
    <n v="1"/>
    <s v="Y"/>
    <x v="1"/>
    <n v="21"/>
    <n v="4"/>
    <n v="4"/>
    <n v="80"/>
    <n v="1"/>
    <n v="1"/>
    <n v="2"/>
    <n v="3"/>
    <n v="1"/>
    <n v="0"/>
    <n v="0"/>
    <n v="0"/>
  </r>
  <r>
    <x v="24"/>
    <x v="1"/>
    <x v="1"/>
    <n v="1246"/>
    <x v="2"/>
    <n v="3"/>
    <n v="3"/>
    <x v="2"/>
    <x v="0"/>
    <x v="477"/>
    <n v="1"/>
    <x v="1"/>
    <n v="99"/>
    <n v="3"/>
    <n v="5"/>
    <x v="5"/>
    <n v="2"/>
    <x v="1"/>
    <n v="18200"/>
    <n v="7999"/>
    <n v="1"/>
    <s v="Y"/>
    <x v="1"/>
    <n v="11"/>
    <n v="3"/>
    <n v="3"/>
    <n v="80"/>
    <n v="1"/>
    <n v="32"/>
    <n v="2"/>
    <n v="3"/>
    <n v="32"/>
    <n v="5"/>
    <n v="10"/>
    <n v="7"/>
  </r>
  <r>
    <x v="36"/>
    <x v="1"/>
    <x v="0"/>
    <n v="622"/>
    <x v="0"/>
    <n v="13"/>
    <n v="1"/>
    <x v="2"/>
    <x v="0"/>
    <x v="478"/>
    <n v="2"/>
    <x v="1"/>
    <n v="40"/>
    <n v="3"/>
    <n v="1"/>
    <x v="6"/>
    <n v="3"/>
    <x v="1"/>
    <n v="2096"/>
    <n v="26376"/>
    <n v="1"/>
    <s v="Y"/>
    <x v="1"/>
    <n v="11"/>
    <n v="3"/>
    <n v="3"/>
    <n v="80"/>
    <n v="0"/>
    <n v="7"/>
    <n v="1"/>
    <n v="3"/>
    <n v="7"/>
    <n v="4"/>
    <n v="0"/>
    <n v="6"/>
  </r>
  <r>
    <x v="17"/>
    <x v="0"/>
    <x v="1"/>
    <n v="1287"/>
    <x v="1"/>
    <n v="7"/>
    <n v="3"/>
    <x v="0"/>
    <x v="0"/>
    <x v="479"/>
    <n v="1"/>
    <x v="0"/>
    <n v="55"/>
    <n v="3"/>
    <n v="1"/>
    <x v="2"/>
    <n v="3"/>
    <x v="1"/>
    <n v="2886"/>
    <n v="14168"/>
    <n v="1"/>
    <s v="Y"/>
    <x v="0"/>
    <n v="16"/>
    <n v="3"/>
    <n v="4"/>
    <n v="80"/>
    <n v="1"/>
    <n v="6"/>
    <n v="4"/>
    <n v="3"/>
    <n v="6"/>
    <n v="3"/>
    <n v="1"/>
    <n v="2"/>
  </r>
  <r>
    <x v="7"/>
    <x v="0"/>
    <x v="1"/>
    <n v="448"/>
    <x v="0"/>
    <n v="12"/>
    <n v="4"/>
    <x v="0"/>
    <x v="0"/>
    <x v="480"/>
    <n v="2"/>
    <x v="1"/>
    <n v="74"/>
    <n v="2"/>
    <n v="1"/>
    <x v="6"/>
    <n v="1"/>
    <x v="1"/>
    <n v="2033"/>
    <n v="14470"/>
    <n v="1"/>
    <s v="Y"/>
    <x v="1"/>
    <n v="18"/>
    <n v="3"/>
    <n v="3"/>
    <n v="80"/>
    <n v="1"/>
    <n v="1"/>
    <n v="2"/>
    <n v="4"/>
    <n v="1"/>
    <n v="0"/>
    <n v="0"/>
    <n v="0"/>
  </r>
  <r>
    <x v="13"/>
    <x v="1"/>
    <x v="0"/>
    <n v="254"/>
    <x v="1"/>
    <n v="1"/>
    <n v="2"/>
    <x v="0"/>
    <x v="0"/>
    <x v="481"/>
    <n v="2"/>
    <x v="1"/>
    <n v="83"/>
    <n v="2"/>
    <n v="1"/>
    <x v="1"/>
    <n v="4"/>
    <x v="1"/>
    <n v="3622"/>
    <n v="22794"/>
    <n v="1"/>
    <s v="Y"/>
    <x v="0"/>
    <n v="13"/>
    <n v="3"/>
    <n v="4"/>
    <n v="80"/>
    <n v="1"/>
    <n v="6"/>
    <n v="3"/>
    <n v="3"/>
    <n v="6"/>
    <n v="5"/>
    <n v="1"/>
    <n v="3"/>
  </r>
  <r>
    <x v="12"/>
    <x v="0"/>
    <x v="0"/>
    <n v="1365"/>
    <x v="0"/>
    <n v="13"/>
    <n v="4"/>
    <x v="2"/>
    <x v="0"/>
    <x v="482"/>
    <n v="2"/>
    <x v="1"/>
    <n v="46"/>
    <n v="3"/>
    <n v="2"/>
    <x v="0"/>
    <n v="1"/>
    <x v="2"/>
    <n v="4233"/>
    <n v="11512"/>
    <n v="2"/>
    <s v="Y"/>
    <x v="1"/>
    <n v="17"/>
    <n v="3"/>
    <n v="3"/>
    <n v="80"/>
    <n v="0"/>
    <n v="9"/>
    <n v="2"/>
    <n v="1"/>
    <n v="3"/>
    <n v="1"/>
    <n v="1"/>
    <n v="2"/>
  </r>
  <r>
    <x v="10"/>
    <x v="1"/>
    <x v="0"/>
    <n v="538"/>
    <x v="1"/>
    <n v="25"/>
    <n v="2"/>
    <x v="1"/>
    <x v="0"/>
    <x v="483"/>
    <n v="1"/>
    <x v="1"/>
    <n v="54"/>
    <n v="2"/>
    <n v="2"/>
    <x v="2"/>
    <n v="4"/>
    <x v="0"/>
    <n v="3681"/>
    <n v="14004"/>
    <n v="4"/>
    <s v="Y"/>
    <x v="1"/>
    <n v="14"/>
    <n v="3"/>
    <n v="4"/>
    <n v="80"/>
    <n v="0"/>
    <n v="9"/>
    <n v="3"/>
    <n v="3"/>
    <n v="3"/>
    <n v="2"/>
    <n v="0"/>
    <n v="2"/>
  </r>
  <r>
    <x v="12"/>
    <x v="1"/>
    <x v="0"/>
    <n v="525"/>
    <x v="0"/>
    <n v="6"/>
    <n v="4"/>
    <x v="2"/>
    <x v="0"/>
    <x v="484"/>
    <n v="1"/>
    <x v="1"/>
    <n v="66"/>
    <n v="4"/>
    <n v="2"/>
    <x v="0"/>
    <n v="4"/>
    <x v="2"/>
    <n v="5460"/>
    <n v="6219"/>
    <n v="4"/>
    <s v="Y"/>
    <x v="1"/>
    <n v="22"/>
    <n v="4"/>
    <n v="4"/>
    <n v="80"/>
    <n v="2"/>
    <n v="13"/>
    <n v="4"/>
    <n v="4"/>
    <n v="7"/>
    <n v="7"/>
    <n v="5"/>
    <n v="7"/>
  </r>
  <r>
    <x v="4"/>
    <x v="1"/>
    <x v="0"/>
    <n v="798"/>
    <x v="1"/>
    <n v="6"/>
    <n v="4"/>
    <x v="2"/>
    <x v="0"/>
    <x v="485"/>
    <n v="1"/>
    <x v="0"/>
    <n v="66"/>
    <n v="2"/>
    <n v="1"/>
    <x v="1"/>
    <n v="3"/>
    <x v="2"/>
    <n v="2187"/>
    <n v="5013"/>
    <n v="0"/>
    <s v="Y"/>
    <x v="1"/>
    <n v="12"/>
    <n v="3"/>
    <n v="3"/>
    <n v="80"/>
    <n v="2"/>
    <n v="6"/>
    <n v="5"/>
    <n v="2"/>
    <n v="5"/>
    <n v="3"/>
    <n v="0"/>
    <n v="3"/>
  </r>
  <r>
    <x v="2"/>
    <x v="1"/>
    <x v="0"/>
    <n v="558"/>
    <x v="0"/>
    <n v="2"/>
    <n v="3"/>
    <x v="3"/>
    <x v="0"/>
    <x v="486"/>
    <n v="4"/>
    <x v="1"/>
    <n v="75"/>
    <n v="3"/>
    <n v="2"/>
    <x v="0"/>
    <n v="3"/>
    <x v="1"/>
    <n v="9602"/>
    <n v="3010"/>
    <n v="4"/>
    <s v="Y"/>
    <x v="0"/>
    <n v="11"/>
    <n v="3"/>
    <n v="3"/>
    <n v="80"/>
    <n v="1"/>
    <n v="17"/>
    <n v="3"/>
    <n v="2"/>
    <n v="3"/>
    <n v="0"/>
    <n v="1"/>
    <n v="0"/>
  </r>
  <r>
    <x v="35"/>
    <x v="1"/>
    <x v="0"/>
    <n v="959"/>
    <x v="1"/>
    <n v="1"/>
    <n v="3"/>
    <x v="0"/>
    <x v="0"/>
    <x v="487"/>
    <n v="4"/>
    <x v="0"/>
    <n v="83"/>
    <n v="2"/>
    <n v="1"/>
    <x v="1"/>
    <n v="2"/>
    <x v="0"/>
    <n v="2836"/>
    <n v="11757"/>
    <n v="1"/>
    <s v="Y"/>
    <x v="1"/>
    <n v="13"/>
    <n v="3"/>
    <n v="4"/>
    <n v="80"/>
    <n v="0"/>
    <n v="1"/>
    <n v="0"/>
    <n v="4"/>
    <n v="1"/>
    <n v="0"/>
    <n v="0"/>
    <n v="0"/>
  </r>
  <r>
    <x v="19"/>
    <x v="1"/>
    <x v="0"/>
    <n v="622"/>
    <x v="1"/>
    <n v="2"/>
    <n v="4"/>
    <x v="0"/>
    <x v="0"/>
    <x v="488"/>
    <n v="3"/>
    <x v="0"/>
    <n v="81"/>
    <n v="3"/>
    <n v="2"/>
    <x v="4"/>
    <n v="4"/>
    <x v="1"/>
    <n v="4089"/>
    <n v="5718"/>
    <n v="1"/>
    <s v="Y"/>
    <x v="1"/>
    <n v="13"/>
    <n v="3"/>
    <n v="2"/>
    <n v="80"/>
    <n v="2"/>
    <n v="10"/>
    <n v="4"/>
    <n v="3"/>
    <n v="10"/>
    <n v="2"/>
    <n v="2"/>
    <n v="2"/>
  </r>
  <r>
    <x v="23"/>
    <x v="1"/>
    <x v="0"/>
    <n v="782"/>
    <x v="1"/>
    <n v="6"/>
    <n v="4"/>
    <x v="1"/>
    <x v="0"/>
    <x v="489"/>
    <n v="2"/>
    <x v="1"/>
    <n v="50"/>
    <n v="2"/>
    <n v="4"/>
    <x v="7"/>
    <n v="4"/>
    <x v="2"/>
    <n v="16627"/>
    <n v="2671"/>
    <n v="4"/>
    <s v="Y"/>
    <x v="0"/>
    <n v="14"/>
    <n v="3"/>
    <n v="3"/>
    <n v="80"/>
    <n v="1"/>
    <n v="21"/>
    <n v="3"/>
    <n v="2"/>
    <n v="1"/>
    <n v="0"/>
    <n v="0"/>
    <n v="0"/>
  </r>
  <r>
    <x v="8"/>
    <x v="1"/>
    <x v="0"/>
    <n v="362"/>
    <x v="1"/>
    <n v="1"/>
    <n v="1"/>
    <x v="0"/>
    <x v="0"/>
    <x v="490"/>
    <n v="3"/>
    <x v="0"/>
    <n v="43"/>
    <n v="3"/>
    <n v="1"/>
    <x v="1"/>
    <n v="1"/>
    <x v="0"/>
    <n v="2619"/>
    <n v="14561"/>
    <n v="3"/>
    <s v="Y"/>
    <x v="1"/>
    <n v="17"/>
    <n v="3"/>
    <n v="4"/>
    <n v="80"/>
    <n v="0"/>
    <n v="8"/>
    <n v="3"/>
    <n v="2"/>
    <n v="0"/>
    <n v="0"/>
    <n v="0"/>
    <n v="0"/>
  </r>
  <r>
    <x v="23"/>
    <x v="1"/>
    <x v="1"/>
    <n v="1001"/>
    <x v="1"/>
    <n v="9"/>
    <n v="5"/>
    <x v="2"/>
    <x v="0"/>
    <x v="491"/>
    <n v="4"/>
    <x v="1"/>
    <n v="72"/>
    <n v="3"/>
    <n v="2"/>
    <x v="2"/>
    <n v="3"/>
    <x v="2"/>
    <n v="5679"/>
    <n v="19627"/>
    <n v="3"/>
    <s v="Y"/>
    <x v="0"/>
    <n v="13"/>
    <n v="3"/>
    <n v="2"/>
    <n v="80"/>
    <n v="1"/>
    <n v="10"/>
    <n v="3"/>
    <n v="3"/>
    <n v="8"/>
    <n v="7"/>
    <n v="4"/>
    <n v="7"/>
  </r>
  <r>
    <x v="26"/>
    <x v="1"/>
    <x v="0"/>
    <n v="1236"/>
    <x v="1"/>
    <n v="1"/>
    <n v="4"/>
    <x v="0"/>
    <x v="0"/>
    <x v="492"/>
    <n v="4"/>
    <x v="0"/>
    <n v="40"/>
    <n v="2"/>
    <n v="4"/>
    <x v="5"/>
    <n v="1"/>
    <x v="1"/>
    <n v="15402"/>
    <n v="17997"/>
    <n v="7"/>
    <s v="Y"/>
    <x v="1"/>
    <n v="11"/>
    <n v="3"/>
    <n v="1"/>
    <n v="80"/>
    <n v="1"/>
    <n v="21"/>
    <n v="3"/>
    <n v="1"/>
    <n v="3"/>
    <n v="2"/>
    <n v="0"/>
    <n v="2"/>
  </r>
  <r>
    <x v="20"/>
    <x v="1"/>
    <x v="0"/>
    <n v="1112"/>
    <x v="2"/>
    <n v="1"/>
    <n v="4"/>
    <x v="0"/>
    <x v="0"/>
    <x v="493"/>
    <n v="1"/>
    <x v="0"/>
    <n v="50"/>
    <n v="2"/>
    <n v="2"/>
    <x v="8"/>
    <n v="3"/>
    <x v="0"/>
    <n v="5985"/>
    <n v="26894"/>
    <n v="4"/>
    <s v="Y"/>
    <x v="1"/>
    <n v="11"/>
    <n v="3"/>
    <n v="2"/>
    <n v="80"/>
    <n v="0"/>
    <n v="10"/>
    <n v="1"/>
    <n v="4"/>
    <n v="2"/>
    <n v="2"/>
    <n v="0"/>
    <n v="2"/>
  </r>
  <r>
    <x v="13"/>
    <x v="1"/>
    <x v="0"/>
    <n v="204"/>
    <x v="0"/>
    <n v="14"/>
    <n v="3"/>
    <x v="4"/>
    <x v="0"/>
    <x v="494"/>
    <n v="3"/>
    <x v="0"/>
    <n v="31"/>
    <n v="3"/>
    <n v="1"/>
    <x v="6"/>
    <n v="3"/>
    <x v="2"/>
    <n v="2579"/>
    <n v="2912"/>
    <n v="1"/>
    <s v="Y"/>
    <x v="0"/>
    <n v="18"/>
    <n v="3"/>
    <n v="4"/>
    <n v="80"/>
    <n v="2"/>
    <n v="8"/>
    <n v="3"/>
    <n v="3"/>
    <n v="8"/>
    <n v="2"/>
    <n v="0"/>
    <n v="6"/>
  </r>
  <r>
    <x v="4"/>
    <x v="0"/>
    <x v="0"/>
    <n v="1420"/>
    <x v="0"/>
    <n v="2"/>
    <n v="1"/>
    <x v="3"/>
    <x v="0"/>
    <x v="495"/>
    <n v="3"/>
    <x v="1"/>
    <n v="85"/>
    <n v="3"/>
    <n v="1"/>
    <x v="6"/>
    <n v="1"/>
    <x v="2"/>
    <n v="3041"/>
    <n v="16346"/>
    <n v="0"/>
    <s v="Y"/>
    <x v="1"/>
    <n v="11"/>
    <n v="3"/>
    <n v="2"/>
    <n v="80"/>
    <n v="1"/>
    <n v="5"/>
    <n v="3"/>
    <n v="3"/>
    <n v="4"/>
    <n v="3"/>
    <n v="0"/>
    <n v="2"/>
  </r>
  <r>
    <x v="18"/>
    <x v="1"/>
    <x v="0"/>
    <n v="1343"/>
    <x v="0"/>
    <n v="22"/>
    <n v="1"/>
    <x v="4"/>
    <x v="0"/>
    <x v="496"/>
    <n v="3"/>
    <x v="1"/>
    <n v="49"/>
    <n v="3"/>
    <n v="1"/>
    <x v="6"/>
    <n v="3"/>
    <x v="0"/>
    <n v="3447"/>
    <n v="24444"/>
    <n v="1"/>
    <s v="Y"/>
    <x v="1"/>
    <n v="11"/>
    <n v="3"/>
    <n v="3"/>
    <n v="80"/>
    <n v="0"/>
    <n v="3"/>
    <n v="2"/>
    <n v="3"/>
    <n v="3"/>
    <n v="2"/>
    <n v="1"/>
    <n v="2"/>
  </r>
  <r>
    <x v="20"/>
    <x v="1"/>
    <x v="0"/>
    <n v="1315"/>
    <x v="1"/>
    <n v="3"/>
    <n v="4"/>
    <x v="1"/>
    <x v="0"/>
    <x v="497"/>
    <n v="4"/>
    <x v="1"/>
    <n v="35"/>
    <n v="3"/>
    <n v="5"/>
    <x v="5"/>
    <n v="4"/>
    <x v="1"/>
    <n v="19513"/>
    <n v="9358"/>
    <n v="4"/>
    <s v="Y"/>
    <x v="0"/>
    <n v="12"/>
    <n v="3"/>
    <n v="1"/>
    <n v="80"/>
    <n v="1"/>
    <n v="26"/>
    <n v="2"/>
    <n v="4"/>
    <n v="2"/>
    <n v="2"/>
    <n v="0"/>
    <n v="1"/>
  </r>
  <r>
    <x v="15"/>
    <x v="1"/>
    <x v="0"/>
    <n v="604"/>
    <x v="1"/>
    <n v="6"/>
    <n v="1"/>
    <x v="2"/>
    <x v="0"/>
    <x v="498"/>
    <n v="1"/>
    <x v="1"/>
    <n v="69"/>
    <n v="3"/>
    <n v="1"/>
    <x v="1"/>
    <n v="3"/>
    <x v="1"/>
    <n v="2773"/>
    <n v="12145"/>
    <n v="0"/>
    <s v="Y"/>
    <x v="1"/>
    <n v="20"/>
    <n v="4"/>
    <n v="4"/>
    <n v="80"/>
    <n v="0"/>
    <n v="3"/>
    <n v="3"/>
    <n v="3"/>
    <n v="2"/>
    <n v="2"/>
    <n v="2"/>
    <n v="2"/>
  </r>
  <r>
    <x v="3"/>
    <x v="1"/>
    <x v="0"/>
    <n v="1216"/>
    <x v="0"/>
    <n v="8"/>
    <n v="4"/>
    <x v="3"/>
    <x v="0"/>
    <x v="499"/>
    <n v="3"/>
    <x v="1"/>
    <n v="39"/>
    <n v="3"/>
    <n v="2"/>
    <x v="0"/>
    <n v="3"/>
    <x v="2"/>
    <n v="7104"/>
    <n v="20431"/>
    <n v="0"/>
    <s v="Y"/>
    <x v="1"/>
    <n v="12"/>
    <n v="3"/>
    <n v="4"/>
    <n v="80"/>
    <n v="0"/>
    <n v="6"/>
    <n v="3"/>
    <n v="3"/>
    <n v="5"/>
    <n v="0"/>
    <n v="1"/>
    <n v="2"/>
  </r>
  <r>
    <x v="5"/>
    <x v="1"/>
    <x v="0"/>
    <n v="646"/>
    <x v="1"/>
    <n v="9"/>
    <n v="4"/>
    <x v="0"/>
    <x v="0"/>
    <x v="500"/>
    <n v="1"/>
    <x v="0"/>
    <n v="92"/>
    <n v="3"/>
    <n v="2"/>
    <x v="1"/>
    <n v="4"/>
    <x v="1"/>
    <n v="6322"/>
    <n v="18089"/>
    <n v="1"/>
    <s v="Y"/>
    <x v="0"/>
    <n v="12"/>
    <n v="3"/>
    <n v="4"/>
    <n v="80"/>
    <n v="1"/>
    <n v="6"/>
    <n v="2"/>
    <n v="2"/>
    <n v="6"/>
    <n v="4"/>
    <n v="0"/>
    <n v="5"/>
  </r>
  <r>
    <x v="7"/>
    <x v="1"/>
    <x v="1"/>
    <n v="160"/>
    <x v="1"/>
    <n v="3"/>
    <n v="3"/>
    <x v="2"/>
    <x v="0"/>
    <x v="501"/>
    <n v="3"/>
    <x v="0"/>
    <n v="71"/>
    <n v="3"/>
    <n v="1"/>
    <x v="1"/>
    <n v="3"/>
    <x v="2"/>
    <n v="2083"/>
    <n v="22653"/>
    <n v="1"/>
    <s v="Y"/>
    <x v="1"/>
    <n v="20"/>
    <n v="4"/>
    <n v="3"/>
    <n v="80"/>
    <n v="1"/>
    <n v="1"/>
    <n v="2"/>
    <n v="3"/>
    <n v="1"/>
    <n v="0"/>
    <n v="0"/>
    <n v="0"/>
  </r>
  <r>
    <x v="16"/>
    <x v="1"/>
    <x v="0"/>
    <n v="238"/>
    <x v="0"/>
    <n v="1"/>
    <n v="1"/>
    <x v="2"/>
    <x v="0"/>
    <x v="502"/>
    <n v="4"/>
    <x v="0"/>
    <n v="34"/>
    <n v="3"/>
    <n v="2"/>
    <x v="0"/>
    <n v="1"/>
    <x v="0"/>
    <n v="8381"/>
    <n v="7507"/>
    <n v="7"/>
    <s v="Y"/>
    <x v="1"/>
    <n v="20"/>
    <n v="4"/>
    <n v="4"/>
    <n v="80"/>
    <n v="0"/>
    <n v="18"/>
    <n v="2"/>
    <n v="4"/>
    <n v="14"/>
    <n v="7"/>
    <n v="8"/>
    <n v="10"/>
  </r>
  <r>
    <x v="13"/>
    <x v="1"/>
    <x v="0"/>
    <n v="1397"/>
    <x v="1"/>
    <n v="1"/>
    <n v="5"/>
    <x v="0"/>
    <x v="0"/>
    <x v="503"/>
    <n v="2"/>
    <x v="1"/>
    <n v="42"/>
    <n v="3"/>
    <n v="1"/>
    <x v="1"/>
    <n v="4"/>
    <x v="1"/>
    <n v="2691"/>
    <n v="7660"/>
    <n v="1"/>
    <s v="Y"/>
    <x v="1"/>
    <n v="12"/>
    <n v="3"/>
    <n v="4"/>
    <n v="80"/>
    <n v="1"/>
    <n v="10"/>
    <n v="4"/>
    <n v="2"/>
    <n v="10"/>
    <n v="9"/>
    <n v="8"/>
    <n v="8"/>
  </r>
  <r>
    <x v="28"/>
    <x v="0"/>
    <x v="1"/>
    <n v="306"/>
    <x v="0"/>
    <n v="26"/>
    <n v="4"/>
    <x v="0"/>
    <x v="0"/>
    <x v="504"/>
    <n v="1"/>
    <x v="0"/>
    <n v="100"/>
    <n v="3"/>
    <n v="2"/>
    <x v="0"/>
    <n v="1"/>
    <x v="1"/>
    <n v="4286"/>
    <n v="5630"/>
    <n v="2"/>
    <s v="Y"/>
    <x v="1"/>
    <n v="14"/>
    <n v="3"/>
    <n v="4"/>
    <n v="80"/>
    <n v="2"/>
    <n v="5"/>
    <n v="4"/>
    <n v="3"/>
    <n v="1"/>
    <n v="1"/>
    <n v="0"/>
    <n v="0"/>
  </r>
  <r>
    <x v="25"/>
    <x v="1"/>
    <x v="0"/>
    <n v="991"/>
    <x v="1"/>
    <n v="6"/>
    <n v="3"/>
    <x v="0"/>
    <x v="0"/>
    <x v="505"/>
    <n v="3"/>
    <x v="0"/>
    <n v="71"/>
    <n v="3"/>
    <n v="1"/>
    <x v="2"/>
    <n v="4"/>
    <x v="1"/>
    <n v="2659"/>
    <n v="17759"/>
    <n v="1"/>
    <s v="Y"/>
    <x v="0"/>
    <n v="13"/>
    <n v="3"/>
    <n v="3"/>
    <n v="80"/>
    <n v="1"/>
    <n v="3"/>
    <n v="2"/>
    <n v="3"/>
    <n v="3"/>
    <n v="2"/>
    <n v="0"/>
    <n v="2"/>
  </r>
  <r>
    <x v="2"/>
    <x v="1"/>
    <x v="0"/>
    <n v="482"/>
    <x v="1"/>
    <n v="3"/>
    <n v="3"/>
    <x v="1"/>
    <x v="0"/>
    <x v="506"/>
    <n v="3"/>
    <x v="1"/>
    <n v="36"/>
    <n v="3"/>
    <n v="3"/>
    <x v="3"/>
    <n v="3"/>
    <x v="1"/>
    <n v="9434"/>
    <n v="9606"/>
    <n v="1"/>
    <s v="Y"/>
    <x v="1"/>
    <n v="15"/>
    <n v="3"/>
    <n v="3"/>
    <n v="80"/>
    <n v="1"/>
    <n v="10"/>
    <n v="2"/>
    <n v="3"/>
    <n v="10"/>
    <n v="7"/>
    <n v="7"/>
    <n v="8"/>
  </r>
  <r>
    <x v="11"/>
    <x v="1"/>
    <x v="0"/>
    <n v="1176"/>
    <x v="0"/>
    <n v="3"/>
    <n v="2"/>
    <x v="2"/>
    <x v="0"/>
    <x v="507"/>
    <n v="2"/>
    <x v="0"/>
    <n v="62"/>
    <n v="3"/>
    <n v="2"/>
    <x v="0"/>
    <n v="3"/>
    <x v="1"/>
    <n v="5561"/>
    <n v="3487"/>
    <n v="1"/>
    <s v="Y"/>
    <x v="1"/>
    <n v="14"/>
    <n v="3"/>
    <n v="1"/>
    <n v="80"/>
    <n v="1"/>
    <n v="6"/>
    <n v="5"/>
    <n v="2"/>
    <n v="6"/>
    <n v="0"/>
    <n v="1"/>
    <n v="2"/>
  </r>
  <r>
    <x v="10"/>
    <x v="1"/>
    <x v="0"/>
    <n v="1017"/>
    <x v="1"/>
    <n v="6"/>
    <n v="4"/>
    <x v="0"/>
    <x v="0"/>
    <x v="508"/>
    <n v="2"/>
    <x v="1"/>
    <n v="82"/>
    <n v="1"/>
    <n v="2"/>
    <x v="1"/>
    <n v="4"/>
    <x v="0"/>
    <n v="6646"/>
    <n v="19368"/>
    <n v="1"/>
    <s v="Y"/>
    <x v="1"/>
    <n v="13"/>
    <n v="3"/>
    <n v="2"/>
    <n v="80"/>
    <n v="0"/>
    <n v="17"/>
    <n v="3"/>
    <n v="3"/>
    <n v="17"/>
    <n v="11"/>
    <n v="11"/>
    <n v="8"/>
  </r>
  <r>
    <x v="3"/>
    <x v="1"/>
    <x v="1"/>
    <n v="1296"/>
    <x v="1"/>
    <n v="6"/>
    <n v="3"/>
    <x v="0"/>
    <x v="0"/>
    <x v="509"/>
    <n v="3"/>
    <x v="1"/>
    <n v="30"/>
    <n v="3"/>
    <n v="2"/>
    <x v="4"/>
    <n v="4"/>
    <x v="2"/>
    <n v="7725"/>
    <n v="5335"/>
    <n v="3"/>
    <s v="Y"/>
    <x v="1"/>
    <n v="23"/>
    <n v="4"/>
    <n v="3"/>
    <n v="80"/>
    <n v="1"/>
    <n v="15"/>
    <n v="2"/>
    <n v="1"/>
    <n v="13"/>
    <n v="11"/>
    <n v="4"/>
    <n v="7"/>
  </r>
  <r>
    <x v="33"/>
    <x v="1"/>
    <x v="0"/>
    <n v="397"/>
    <x v="2"/>
    <n v="19"/>
    <n v="4"/>
    <x v="2"/>
    <x v="0"/>
    <x v="510"/>
    <n v="3"/>
    <x v="1"/>
    <n v="88"/>
    <n v="3"/>
    <n v="3"/>
    <x v="8"/>
    <n v="2"/>
    <x v="1"/>
    <n v="10725"/>
    <n v="6729"/>
    <n v="2"/>
    <s v="Y"/>
    <x v="1"/>
    <n v="15"/>
    <n v="3"/>
    <n v="3"/>
    <n v="80"/>
    <n v="1"/>
    <n v="16"/>
    <n v="1"/>
    <n v="4"/>
    <n v="9"/>
    <n v="7"/>
    <n v="7"/>
    <n v="1"/>
  </r>
  <r>
    <x v="9"/>
    <x v="1"/>
    <x v="0"/>
    <n v="913"/>
    <x v="1"/>
    <n v="9"/>
    <n v="2"/>
    <x v="2"/>
    <x v="0"/>
    <x v="511"/>
    <n v="2"/>
    <x v="1"/>
    <n v="48"/>
    <n v="2"/>
    <n v="2"/>
    <x v="3"/>
    <n v="2"/>
    <x v="2"/>
    <n v="8847"/>
    <n v="13934"/>
    <n v="2"/>
    <s v="Y"/>
    <x v="0"/>
    <n v="11"/>
    <n v="3"/>
    <n v="3"/>
    <n v="80"/>
    <n v="1"/>
    <n v="13"/>
    <n v="2"/>
    <n v="3"/>
    <n v="3"/>
    <n v="2"/>
    <n v="0"/>
    <n v="2"/>
  </r>
  <r>
    <x v="4"/>
    <x v="1"/>
    <x v="0"/>
    <n v="1115"/>
    <x v="1"/>
    <n v="3"/>
    <n v="4"/>
    <x v="2"/>
    <x v="0"/>
    <x v="512"/>
    <n v="1"/>
    <x v="1"/>
    <n v="54"/>
    <n v="2"/>
    <n v="1"/>
    <x v="1"/>
    <n v="4"/>
    <x v="0"/>
    <n v="2045"/>
    <n v="15174"/>
    <n v="0"/>
    <s v="Y"/>
    <x v="1"/>
    <n v="13"/>
    <n v="3"/>
    <n v="4"/>
    <n v="80"/>
    <n v="0"/>
    <n v="5"/>
    <n v="0"/>
    <n v="3"/>
    <n v="4"/>
    <n v="2"/>
    <n v="1"/>
    <n v="1"/>
  </r>
  <r>
    <x v="35"/>
    <x v="0"/>
    <x v="0"/>
    <n v="1362"/>
    <x v="1"/>
    <n v="10"/>
    <n v="1"/>
    <x v="2"/>
    <x v="0"/>
    <x v="513"/>
    <n v="4"/>
    <x v="1"/>
    <n v="32"/>
    <n v="3"/>
    <n v="1"/>
    <x v="1"/>
    <n v="3"/>
    <x v="0"/>
    <n v="1009"/>
    <n v="26999"/>
    <n v="1"/>
    <s v="Y"/>
    <x v="0"/>
    <n v="11"/>
    <n v="3"/>
    <n v="4"/>
    <n v="80"/>
    <n v="0"/>
    <n v="1"/>
    <n v="5"/>
    <n v="3"/>
    <n v="1"/>
    <n v="0"/>
    <n v="1"/>
    <n v="1"/>
  </r>
  <r>
    <x v="3"/>
    <x v="0"/>
    <x v="1"/>
    <n v="1076"/>
    <x v="1"/>
    <n v="3"/>
    <n v="3"/>
    <x v="0"/>
    <x v="0"/>
    <x v="514"/>
    <n v="1"/>
    <x v="1"/>
    <n v="70"/>
    <n v="3"/>
    <n v="1"/>
    <x v="1"/>
    <n v="1"/>
    <x v="0"/>
    <n v="3348"/>
    <n v="3164"/>
    <n v="1"/>
    <s v="Y"/>
    <x v="0"/>
    <n v="11"/>
    <n v="3"/>
    <n v="1"/>
    <n v="80"/>
    <n v="0"/>
    <n v="10"/>
    <n v="3"/>
    <n v="3"/>
    <n v="10"/>
    <n v="8"/>
    <n v="9"/>
    <n v="7"/>
  </r>
  <r>
    <x v="10"/>
    <x v="1"/>
    <x v="2"/>
    <n v="727"/>
    <x v="1"/>
    <n v="3"/>
    <n v="3"/>
    <x v="0"/>
    <x v="0"/>
    <x v="515"/>
    <n v="3"/>
    <x v="1"/>
    <n v="41"/>
    <n v="2"/>
    <n v="1"/>
    <x v="2"/>
    <n v="3"/>
    <x v="1"/>
    <n v="1281"/>
    <n v="16900"/>
    <n v="1"/>
    <s v="Y"/>
    <x v="1"/>
    <n v="18"/>
    <n v="3"/>
    <n v="3"/>
    <n v="80"/>
    <n v="2"/>
    <n v="1"/>
    <n v="3"/>
    <n v="3"/>
    <n v="1"/>
    <n v="0"/>
    <n v="0"/>
    <n v="0"/>
  </r>
  <r>
    <x v="30"/>
    <x v="1"/>
    <x v="0"/>
    <n v="885"/>
    <x v="1"/>
    <n v="4"/>
    <n v="3"/>
    <x v="2"/>
    <x v="0"/>
    <x v="516"/>
    <n v="1"/>
    <x v="1"/>
    <n v="58"/>
    <n v="4"/>
    <n v="1"/>
    <x v="1"/>
    <n v="1"/>
    <x v="1"/>
    <n v="2819"/>
    <n v="8544"/>
    <n v="2"/>
    <s v="Y"/>
    <x v="1"/>
    <n v="16"/>
    <n v="3"/>
    <n v="1"/>
    <n v="80"/>
    <n v="1"/>
    <n v="5"/>
    <n v="3"/>
    <n v="4"/>
    <n v="3"/>
    <n v="2"/>
    <n v="0"/>
    <n v="2"/>
  </r>
  <r>
    <x v="36"/>
    <x v="1"/>
    <x v="0"/>
    <n v="810"/>
    <x v="0"/>
    <n v="8"/>
    <n v="3"/>
    <x v="0"/>
    <x v="0"/>
    <x v="517"/>
    <n v="4"/>
    <x v="1"/>
    <n v="57"/>
    <n v="4"/>
    <n v="2"/>
    <x v="0"/>
    <n v="2"/>
    <x v="1"/>
    <n v="4851"/>
    <n v="15678"/>
    <n v="0"/>
    <s v="Y"/>
    <x v="1"/>
    <n v="22"/>
    <n v="4"/>
    <n v="3"/>
    <n v="80"/>
    <n v="1"/>
    <n v="4"/>
    <n v="4"/>
    <n v="3"/>
    <n v="3"/>
    <n v="2"/>
    <n v="1"/>
    <n v="2"/>
  </r>
  <r>
    <x v="8"/>
    <x v="1"/>
    <x v="0"/>
    <n v="243"/>
    <x v="0"/>
    <n v="7"/>
    <n v="4"/>
    <x v="3"/>
    <x v="0"/>
    <x v="518"/>
    <n v="4"/>
    <x v="0"/>
    <n v="46"/>
    <n v="2"/>
    <n v="2"/>
    <x v="0"/>
    <n v="4"/>
    <x v="0"/>
    <n v="4028"/>
    <n v="7791"/>
    <n v="0"/>
    <s v="Y"/>
    <x v="1"/>
    <n v="20"/>
    <n v="4"/>
    <n v="1"/>
    <n v="80"/>
    <n v="0"/>
    <n v="8"/>
    <n v="2"/>
    <n v="3"/>
    <n v="7"/>
    <n v="7"/>
    <n v="0"/>
    <n v="5"/>
  </r>
  <r>
    <x v="11"/>
    <x v="1"/>
    <x v="1"/>
    <n v="806"/>
    <x v="1"/>
    <n v="1"/>
    <n v="4"/>
    <x v="0"/>
    <x v="0"/>
    <x v="519"/>
    <n v="2"/>
    <x v="1"/>
    <n v="76"/>
    <n v="1"/>
    <n v="1"/>
    <x v="1"/>
    <n v="4"/>
    <x v="2"/>
    <n v="2720"/>
    <n v="18959"/>
    <n v="1"/>
    <s v="Y"/>
    <x v="1"/>
    <n v="18"/>
    <n v="3"/>
    <n v="4"/>
    <n v="80"/>
    <n v="1"/>
    <n v="10"/>
    <n v="5"/>
    <n v="3"/>
    <n v="10"/>
    <n v="7"/>
    <n v="2"/>
    <n v="8"/>
  </r>
  <r>
    <x v="26"/>
    <x v="1"/>
    <x v="0"/>
    <n v="817"/>
    <x v="0"/>
    <n v="2"/>
    <n v="1"/>
    <x v="3"/>
    <x v="0"/>
    <x v="520"/>
    <n v="2"/>
    <x v="1"/>
    <n v="56"/>
    <n v="4"/>
    <n v="2"/>
    <x v="0"/>
    <n v="2"/>
    <x v="1"/>
    <n v="8120"/>
    <n v="18597"/>
    <n v="3"/>
    <s v="Y"/>
    <x v="1"/>
    <n v="12"/>
    <n v="3"/>
    <n v="4"/>
    <n v="80"/>
    <n v="0"/>
    <n v="12"/>
    <n v="3"/>
    <n v="3"/>
    <n v="2"/>
    <n v="2"/>
    <n v="2"/>
    <n v="2"/>
  </r>
  <r>
    <x v="4"/>
    <x v="1"/>
    <x v="1"/>
    <n v="1410"/>
    <x v="0"/>
    <n v="3"/>
    <n v="1"/>
    <x v="2"/>
    <x v="0"/>
    <x v="521"/>
    <n v="4"/>
    <x v="0"/>
    <n v="71"/>
    <n v="4"/>
    <n v="2"/>
    <x v="0"/>
    <n v="4"/>
    <x v="2"/>
    <n v="4647"/>
    <n v="16673"/>
    <n v="1"/>
    <s v="Y"/>
    <x v="0"/>
    <n v="20"/>
    <n v="4"/>
    <n v="2"/>
    <n v="80"/>
    <n v="2"/>
    <n v="6"/>
    <n v="3"/>
    <n v="3"/>
    <n v="6"/>
    <n v="5"/>
    <n v="0"/>
    <n v="4"/>
  </r>
  <r>
    <x v="2"/>
    <x v="1"/>
    <x v="0"/>
    <n v="1225"/>
    <x v="1"/>
    <n v="10"/>
    <n v="2"/>
    <x v="0"/>
    <x v="0"/>
    <x v="522"/>
    <n v="4"/>
    <x v="1"/>
    <n v="80"/>
    <n v="4"/>
    <n v="1"/>
    <x v="1"/>
    <n v="4"/>
    <x v="0"/>
    <n v="4680"/>
    <n v="15232"/>
    <n v="3"/>
    <s v="Y"/>
    <x v="1"/>
    <n v="17"/>
    <n v="3"/>
    <n v="1"/>
    <n v="80"/>
    <n v="0"/>
    <n v="4"/>
    <n v="2"/>
    <n v="3"/>
    <n v="1"/>
    <n v="0"/>
    <n v="0"/>
    <n v="0"/>
  </r>
  <r>
    <x v="24"/>
    <x v="1"/>
    <x v="0"/>
    <n v="1207"/>
    <x v="1"/>
    <n v="28"/>
    <n v="1"/>
    <x v="2"/>
    <x v="0"/>
    <x v="523"/>
    <n v="4"/>
    <x v="1"/>
    <n v="74"/>
    <n v="4"/>
    <n v="1"/>
    <x v="2"/>
    <n v="3"/>
    <x v="1"/>
    <n v="3221"/>
    <n v="3297"/>
    <n v="1"/>
    <s v="Y"/>
    <x v="0"/>
    <n v="11"/>
    <n v="3"/>
    <n v="3"/>
    <n v="80"/>
    <n v="3"/>
    <n v="20"/>
    <n v="3"/>
    <n v="3"/>
    <n v="20"/>
    <n v="8"/>
    <n v="3"/>
    <n v="8"/>
  </r>
  <r>
    <x v="13"/>
    <x v="1"/>
    <x v="0"/>
    <n v="1442"/>
    <x v="1"/>
    <n v="9"/>
    <n v="3"/>
    <x v="2"/>
    <x v="0"/>
    <x v="524"/>
    <n v="4"/>
    <x v="0"/>
    <n v="46"/>
    <n v="2"/>
    <n v="3"/>
    <x v="4"/>
    <n v="2"/>
    <x v="0"/>
    <n v="8621"/>
    <n v="17654"/>
    <n v="1"/>
    <s v="Y"/>
    <x v="1"/>
    <n v="14"/>
    <n v="3"/>
    <n v="2"/>
    <n v="80"/>
    <n v="0"/>
    <n v="9"/>
    <n v="3"/>
    <n v="4"/>
    <n v="8"/>
    <n v="7"/>
    <n v="7"/>
    <n v="7"/>
  </r>
  <r>
    <x v="17"/>
    <x v="0"/>
    <x v="0"/>
    <n v="693"/>
    <x v="0"/>
    <n v="3"/>
    <n v="2"/>
    <x v="0"/>
    <x v="0"/>
    <x v="525"/>
    <n v="1"/>
    <x v="0"/>
    <n v="65"/>
    <n v="3"/>
    <n v="2"/>
    <x v="0"/>
    <n v="3"/>
    <x v="0"/>
    <n v="4577"/>
    <n v="24785"/>
    <n v="9"/>
    <s v="Y"/>
    <x v="1"/>
    <n v="14"/>
    <n v="3"/>
    <n v="1"/>
    <n v="80"/>
    <n v="0"/>
    <n v="4"/>
    <n v="3"/>
    <n v="3"/>
    <n v="2"/>
    <n v="2"/>
    <n v="2"/>
    <n v="0"/>
  </r>
  <r>
    <x v="22"/>
    <x v="1"/>
    <x v="0"/>
    <n v="408"/>
    <x v="1"/>
    <n v="2"/>
    <n v="4"/>
    <x v="4"/>
    <x v="0"/>
    <x v="526"/>
    <n v="4"/>
    <x v="0"/>
    <n v="80"/>
    <n v="2"/>
    <n v="2"/>
    <x v="4"/>
    <n v="3"/>
    <x v="0"/>
    <n v="4553"/>
    <n v="20978"/>
    <n v="1"/>
    <s v="Y"/>
    <x v="1"/>
    <n v="11"/>
    <n v="3"/>
    <n v="1"/>
    <n v="80"/>
    <n v="0"/>
    <n v="20"/>
    <n v="4"/>
    <n v="3"/>
    <n v="20"/>
    <n v="7"/>
    <n v="11"/>
    <n v="10"/>
  </r>
  <r>
    <x v="5"/>
    <x v="1"/>
    <x v="0"/>
    <n v="929"/>
    <x v="0"/>
    <n v="10"/>
    <n v="3"/>
    <x v="3"/>
    <x v="0"/>
    <x v="527"/>
    <n v="4"/>
    <x v="1"/>
    <n v="55"/>
    <n v="3"/>
    <n v="2"/>
    <x v="0"/>
    <n v="4"/>
    <x v="0"/>
    <n v="5396"/>
    <n v="21703"/>
    <n v="1"/>
    <s v="Y"/>
    <x v="1"/>
    <n v="12"/>
    <n v="3"/>
    <n v="4"/>
    <n v="80"/>
    <n v="0"/>
    <n v="10"/>
    <n v="2"/>
    <n v="2"/>
    <n v="10"/>
    <n v="7"/>
    <n v="0"/>
    <n v="8"/>
  </r>
  <r>
    <x v="24"/>
    <x v="0"/>
    <x v="1"/>
    <n v="562"/>
    <x v="0"/>
    <n v="8"/>
    <n v="2"/>
    <x v="4"/>
    <x v="0"/>
    <x v="528"/>
    <n v="2"/>
    <x v="1"/>
    <n v="50"/>
    <n v="3"/>
    <n v="2"/>
    <x v="0"/>
    <n v="3"/>
    <x v="1"/>
    <n v="6796"/>
    <n v="23452"/>
    <n v="3"/>
    <s v="Y"/>
    <x v="0"/>
    <n v="14"/>
    <n v="3"/>
    <n v="1"/>
    <n v="80"/>
    <n v="1"/>
    <n v="18"/>
    <n v="4"/>
    <n v="3"/>
    <n v="4"/>
    <n v="3"/>
    <n v="1"/>
    <n v="3"/>
  </r>
  <r>
    <x v="8"/>
    <x v="1"/>
    <x v="0"/>
    <n v="827"/>
    <x v="1"/>
    <n v="1"/>
    <n v="4"/>
    <x v="0"/>
    <x v="0"/>
    <x v="529"/>
    <n v="2"/>
    <x v="0"/>
    <n v="33"/>
    <n v="4"/>
    <n v="2"/>
    <x v="4"/>
    <n v="4"/>
    <x v="0"/>
    <n v="7625"/>
    <n v="19383"/>
    <n v="0"/>
    <s v="Y"/>
    <x v="1"/>
    <n v="13"/>
    <n v="3"/>
    <n v="3"/>
    <n v="80"/>
    <n v="0"/>
    <n v="10"/>
    <n v="4"/>
    <n v="2"/>
    <n v="9"/>
    <n v="7"/>
    <n v="1"/>
    <n v="8"/>
  </r>
  <r>
    <x v="4"/>
    <x v="1"/>
    <x v="0"/>
    <n v="608"/>
    <x v="1"/>
    <n v="1"/>
    <n v="2"/>
    <x v="0"/>
    <x v="0"/>
    <x v="530"/>
    <n v="3"/>
    <x v="0"/>
    <n v="68"/>
    <n v="3"/>
    <n v="3"/>
    <x v="3"/>
    <n v="1"/>
    <x v="1"/>
    <n v="7412"/>
    <n v="6009"/>
    <n v="1"/>
    <s v="Y"/>
    <x v="1"/>
    <n v="11"/>
    <n v="3"/>
    <n v="4"/>
    <n v="80"/>
    <n v="0"/>
    <n v="9"/>
    <n v="3"/>
    <n v="3"/>
    <n v="9"/>
    <n v="7"/>
    <n v="0"/>
    <n v="7"/>
  </r>
  <r>
    <x v="5"/>
    <x v="1"/>
    <x v="0"/>
    <n v="1018"/>
    <x v="1"/>
    <n v="3"/>
    <n v="2"/>
    <x v="0"/>
    <x v="0"/>
    <x v="531"/>
    <n v="3"/>
    <x v="0"/>
    <n v="39"/>
    <n v="3"/>
    <n v="3"/>
    <x v="7"/>
    <n v="4"/>
    <x v="0"/>
    <n v="11159"/>
    <n v="19373"/>
    <n v="3"/>
    <s v="Y"/>
    <x v="1"/>
    <n v="15"/>
    <n v="3"/>
    <n v="4"/>
    <n v="80"/>
    <n v="0"/>
    <n v="10"/>
    <n v="6"/>
    <n v="3"/>
    <n v="7"/>
    <n v="7"/>
    <n v="7"/>
    <n v="7"/>
  </r>
  <r>
    <x v="40"/>
    <x v="1"/>
    <x v="0"/>
    <n v="703"/>
    <x v="0"/>
    <n v="14"/>
    <n v="4"/>
    <x v="3"/>
    <x v="0"/>
    <x v="532"/>
    <n v="4"/>
    <x v="1"/>
    <n v="42"/>
    <n v="3"/>
    <n v="2"/>
    <x v="0"/>
    <n v="1"/>
    <x v="0"/>
    <n v="4960"/>
    <n v="11825"/>
    <n v="2"/>
    <s v="Y"/>
    <x v="1"/>
    <n v="12"/>
    <n v="3"/>
    <n v="4"/>
    <n v="80"/>
    <n v="0"/>
    <n v="20"/>
    <n v="2"/>
    <n v="3"/>
    <n v="7"/>
    <n v="7"/>
    <n v="1"/>
    <n v="7"/>
  </r>
  <r>
    <x v="32"/>
    <x v="1"/>
    <x v="1"/>
    <n v="580"/>
    <x v="0"/>
    <n v="5"/>
    <n v="4"/>
    <x v="0"/>
    <x v="0"/>
    <x v="533"/>
    <n v="4"/>
    <x v="1"/>
    <n v="48"/>
    <n v="2"/>
    <n v="3"/>
    <x v="0"/>
    <n v="1"/>
    <x v="1"/>
    <n v="10475"/>
    <n v="23772"/>
    <n v="5"/>
    <s v="Y"/>
    <x v="0"/>
    <n v="21"/>
    <n v="4"/>
    <n v="3"/>
    <n v="80"/>
    <n v="1"/>
    <n v="20"/>
    <n v="2"/>
    <n v="3"/>
    <n v="18"/>
    <n v="13"/>
    <n v="1"/>
    <n v="12"/>
  </r>
  <r>
    <x v="16"/>
    <x v="1"/>
    <x v="0"/>
    <n v="970"/>
    <x v="1"/>
    <n v="7"/>
    <n v="3"/>
    <x v="0"/>
    <x v="0"/>
    <x v="534"/>
    <n v="3"/>
    <x v="1"/>
    <n v="59"/>
    <n v="4"/>
    <n v="4"/>
    <x v="7"/>
    <n v="3"/>
    <x v="1"/>
    <n v="14814"/>
    <n v="13514"/>
    <n v="3"/>
    <s v="Y"/>
    <x v="1"/>
    <n v="19"/>
    <n v="3"/>
    <n v="3"/>
    <n v="80"/>
    <n v="0"/>
    <n v="32"/>
    <n v="3"/>
    <n v="3"/>
    <n v="5"/>
    <n v="1"/>
    <n v="1"/>
    <n v="3"/>
  </r>
  <r>
    <x v="0"/>
    <x v="1"/>
    <x v="0"/>
    <n v="427"/>
    <x v="2"/>
    <n v="10"/>
    <n v="4"/>
    <x v="5"/>
    <x v="0"/>
    <x v="535"/>
    <n v="2"/>
    <x v="1"/>
    <n v="73"/>
    <n v="2"/>
    <n v="5"/>
    <x v="5"/>
    <n v="4"/>
    <x v="2"/>
    <n v="19141"/>
    <n v="8861"/>
    <n v="3"/>
    <s v="Y"/>
    <x v="1"/>
    <n v="15"/>
    <n v="3"/>
    <n v="2"/>
    <n v="80"/>
    <n v="3"/>
    <n v="23"/>
    <n v="2"/>
    <n v="2"/>
    <n v="21"/>
    <n v="6"/>
    <n v="12"/>
    <n v="6"/>
  </r>
  <r>
    <x v="42"/>
    <x v="1"/>
    <x v="0"/>
    <n v="1179"/>
    <x v="0"/>
    <n v="16"/>
    <n v="4"/>
    <x v="3"/>
    <x v="0"/>
    <x v="536"/>
    <n v="1"/>
    <x v="1"/>
    <n v="84"/>
    <n v="3"/>
    <n v="2"/>
    <x v="0"/>
    <n v="1"/>
    <x v="0"/>
    <n v="5405"/>
    <n v="11924"/>
    <n v="8"/>
    <s v="Y"/>
    <x v="1"/>
    <n v="14"/>
    <n v="3"/>
    <n v="4"/>
    <n v="80"/>
    <n v="0"/>
    <n v="10"/>
    <n v="1"/>
    <n v="3"/>
    <n v="2"/>
    <n v="2"/>
    <n v="2"/>
    <n v="2"/>
  </r>
  <r>
    <x v="4"/>
    <x v="1"/>
    <x v="1"/>
    <n v="294"/>
    <x v="1"/>
    <n v="10"/>
    <n v="2"/>
    <x v="0"/>
    <x v="0"/>
    <x v="537"/>
    <n v="4"/>
    <x v="1"/>
    <n v="32"/>
    <n v="3"/>
    <n v="3"/>
    <x v="3"/>
    <n v="1"/>
    <x v="2"/>
    <n v="8793"/>
    <n v="4809"/>
    <n v="1"/>
    <s v="Y"/>
    <x v="1"/>
    <n v="21"/>
    <n v="4"/>
    <n v="3"/>
    <n v="80"/>
    <n v="2"/>
    <n v="9"/>
    <n v="4"/>
    <n v="2"/>
    <n v="9"/>
    <n v="7"/>
    <n v="1"/>
    <n v="7"/>
  </r>
  <r>
    <x v="0"/>
    <x v="1"/>
    <x v="0"/>
    <n v="314"/>
    <x v="2"/>
    <n v="1"/>
    <n v="3"/>
    <x v="5"/>
    <x v="0"/>
    <x v="538"/>
    <n v="4"/>
    <x v="1"/>
    <n v="59"/>
    <n v="2"/>
    <n v="5"/>
    <x v="5"/>
    <n v="3"/>
    <x v="1"/>
    <n v="19189"/>
    <n v="19562"/>
    <n v="1"/>
    <s v="Y"/>
    <x v="1"/>
    <n v="12"/>
    <n v="3"/>
    <n v="2"/>
    <n v="80"/>
    <n v="1"/>
    <n v="22"/>
    <n v="3"/>
    <n v="3"/>
    <n v="22"/>
    <n v="7"/>
    <n v="2"/>
    <n v="10"/>
  </r>
  <r>
    <x v="24"/>
    <x v="1"/>
    <x v="0"/>
    <n v="316"/>
    <x v="0"/>
    <n v="8"/>
    <n v="4"/>
    <x v="3"/>
    <x v="0"/>
    <x v="539"/>
    <n v="4"/>
    <x v="1"/>
    <n v="54"/>
    <n v="3"/>
    <n v="1"/>
    <x v="6"/>
    <n v="2"/>
    <x v="1"/>
    <n v="3875"/>
    <n v="9983"/>
    <n v="7"/>
    <s v="Y"/>
    <x v="1"/>
    <n v="15"/>
    <n v="3"/>
    <n v="4"/>
    <n v="80"/>
    <n v="1"/>
    <n v="4"/>
    <n v="2"/>
    <n v="3"/>
    <n v="2"/>
    <n v="2"/>
    <n v="2"/>
    <n v="2"/>
  </r>
  <r>
    <x v="14"/>
    <x v="0"/>
    <x v="0"/>
    <n v="654"/>
    <x v="1"/>
    <n v="1"/>
    <n v="2"/>
    <x v="0"/>
    <x v="0"/>
    <x v="540"/>
    <n v="1"/>
    <x v="0"/>
    <n v="67"/>
    <n v="1"/>
    <n v="1"/>
    <x v="1"/>
    <n v="2"/>
    <x v="0"/>
    <n v="2216"/>
    <n v="3872"/>
    <n v="7"/>
    <s v="Y"/>
    <x v="0"/>
    <n v="13"/>
    <n v="3"/>
    <n v="4"/>
    <n v="80"/>
    <n v="0"/>
    <n v="10"/>
    <n v="4"/>
    <n v="3"/>
    <n v="7"/>
    <n v="7"/>
    <n v="3"/>
    <n v="7"/>
  </r>
  <r>
    <x v="9"/>
    <x v="1"/>
    <x v="2"/>
    <n v="427"/>
    <x v="1"/>
    <n v="8"/>
    <n v="3"/>
    <x v="0"/>
    <x v="0"/>
    <x v="541"/>
    <n v="1"/>
    <x v="0"/>
    <n v="63"/>
    <n v="4"/>
    <n v="3"/>
    <x v="7"/>
    <n v="1"/>
    <x v="1"/>
    <n v="11713"/>
    <n v="20335"/>
    <n v="9"/>
    <s v="Y"/>
    <x v="1"/>
    <n v="14"/>
    <n v="3"/>
    <n v="1"/>
    <n v="80"/>
    <n v="1"/>
    <n v="10"/>
    <n v="2"/>
    <n v="3"/>
    <n v="8"/>
    <n v="7"/>
    <n v="0"/>
    <n v="5"/>
  </r>
  <r>
    <x v="8"/>
    <x v="1"/>
    <x v="0"/>
    <n v="168"/>
    <x v="1"/>
    <n v="1"/>
    <n v="3"/>
    <x v="0"/>
    <x v="0"/>
    <x v="542"/>
    <n v="3"/>
    <x v="0"/>
    <n v="81"/>
    <n v="3"/>
    <n v="3"/>
    <x v="3"/>
    <n v="3"/>
    <x v="0"/>
    <n v="7861"/>
    <n v="15397"/>
    <n v="4"/>
    <s v="Y"/>
    <x v="0"/>
    <n v="14"/>
    <n v="3"/>
    <n v="4"/>
    <n v="80"/>
    <n v="0"/>
    <n v="10"/>
    <n v="4"/>
    <n v="4"/>
    <n v="1"/>
    <n v="0"/>
    <n v="0"/>
    <n v="0"/>
  </r>
  <r>
    <x v="20"/>
    <x v="1"/>
    <x v="2"/>
    <n v="381"/>
    <x v="1"/>
    <n v="24"/>
    <n v="3"/>
    <x v="2"/>
    <x v="0"/>
    <x v="543"/>
    <n v="1"/>
    <x v="1"/>
    <n v="49"/>
    <n v="1"/>
    <n v="1"/>
    <x v="2"/>
    <n v="3"/>
    <x v="0"/>
    <n v="3708"/>
    <n v="2104"/>
    <n v="2"/>
    <s v="Y"/>
    <x v="1"/>
    <n v="14"/>
    <n v="3"/>
    <n v="3"/>
    <n v="80"/>
    <n v="0"/>
    <n v="9"/>
    <n v="5"/>
    <n v="3"/>
    <n v="5"/>
    <n v="2"/>
    <n v="1"/>
    <n v="4"/>
  </r>
  <r>
    <x v="40"/>
    <x v="1"/>
    <x v="1"/>
    <n v="217"/>
    <x v="0"/>
    <n v="3"/>
    <n v="3"/>
    <x v="2"/>
    <x v="0"/>
    <x v="544"/>
    <n v="4"/>
    <x v="0"/>
    <n v="49"/>
    <n v="3"/>
    <n v="4"/>
    <x v="0"/>
    <n v="3"/>
    <x v="2"/>
    <n v="13770"/>
    <n v="10225"/>
    <n v="9"/>
    <s v="Y"/>
    <x v="0"/>
    <n v="12"/>
    <n v="3"/>
    <n v="4"/>
    <n v="80"/>
    <n v="2"/>
    <n v="28"/>
    <n v="2"/>
    <n v="2"/>
    <n v="22"/>
    <n v="2"/>
    <n v="11"/>
    <n v="13"/>
  </r>
  <r>
    <x v="7"/>
    <x v="1"/>
    <x v="0"/>
    <n v="501"/>
    <x v="0"/>
    <n v="27"/>
    <n v="5"/>
    <x v="3"/>
    <x v="0"/>
    <x v="545"/>
    <n v="3"/>
    <x v="1"/>
    <n v="99"/>
    <n v="3"/>
    <n v="2"/>
    <x v="0"/>
    <n v="4"/>
    <x v="2"/>
    <n v="5304"/>
    <n v="25275"/>
    <n v="7"/>
    <s v="Y"/>
    <x v="1"/>
    <n v="23"/>
    <n v="4"/>
    <n v="4"/>
    <n v="80"/>
    <n v="1"/>
    <n v="10"/>
    <n v="2"/>
    <n v="2"/>
    <n v="8"/>
    <n v="7"/>
    <n v="7"/>
    <n v="7"/>
  </r>
  <r>
    <x v="11"/>
    <x v="1"/>
    <x v="0"/>
    <n v="1396"/>
    <x v="0"/>
    <n v="10"/>
    <n v="3"/>
    <x v="0"/>
    <x v="0"/>
    <x v="546"/>
    <n v="3"/>
    <x v="1"/>
    <n v="99"/>
    <n v="3"/>
    <n v="1"/>
    <x v="6"/>
    <n v="3"/>
    <x v="0"/>
    <n v="2642"/>
    <n v="2755"/>
    <n v="1"/>
    <s v="Y"/>
    <x v="1"/>
    <n v="11"/>
    <n v="3"/>
    <n v="3"/>
    <n v="80"/>
    <n v="0"/>
    <n v="1"/>
    <n v="6"/>
    <n v="3"/>
    <n v="1"/>
    <n v="0"/>
    <n v="0"/>
    <n v="0"/>
  </r>
  <r>
    <x v="19"/>
    <x v="0"/>
    <x v="1"/>
    <n v="933"/>
    <x v="1"/>
    <n v="19"/>
    <n v="3"/>
    <x v="2"/>
    <x v="0"/>
    <x v="547"/>
    <n v="3"/>
    <x v="1"/>
    <n v="57"/>
    <n v="4"/>
    <n v="1"/>
    <x v="1"/>
    <n v="3"/>
    <x v="2"/>
    <n v="2759"/>
    <n v="20366"/>
    <n v="6"/>
    <s v="Y"/>
    <x v="0"/>
    <n v="12"/>
    <n v="3"/>
    <n v="4"/>
    <n v="80"/>
    <n v="0"/>
    <n v="7"/>
    <n v="2"/>
    <n v="3"/>
    <n v="2"/>
    <n v="2"/>
    <n v="2"/>
    <n v="2"/>
  </r>
  <r>
    <x v="23"/>
    <x v="1"/>
    <x v="1"/>
    <n v="775"/>
    <x v="0"/>
    <n v="15"/>
    <n v="3"/>
    <x v="0"/>
    <x v="0"/>
    <x v="548"/>
    <n v="4"/>
    <x v="1"/>
    <n v="47"/>
    <n v="2"/>
    <n v="2"/>
    <x v="0"/>
    <n v="4"/>
    <x v="1"/>
    <n v="6804"/>
    <n v="23683"/>
    <n v="3"/>
    <s v="Y"/>
    <x v="1"/>
    <n v="18"/>
    <n v="3"/>
    <n v="3"/>
    <n v="80"/>
    <n v="1"/>
    <n v="7"/>
    <n v="5"/>
    <n v="3"/>
    <n v="2"/>
    <n v="2"/>
    <n v="2"/>
    <n v="2"/>
  </r>
  <r>
    <x v="13"/>
    <x v="1"/>
    <x v="0"/>
    <n v="970"/>
    <x v="1"/>
    <n v="8"/>
    <n v="2"/>
    <x v="2"/>
    <x v="0"/>
    <x v="549"/>
    <n v="2"/>
    <x v="0"/>
    <n v="96"/>
    <n v="3"/>
    <n v="2"/>
    <x v="4"/>
    <n v="3"/>
    <x v="0"/>
    <n v="6142"/>
    <n v="7360"/>
    <n v="3"/>
    <s v="Y"/>
    <x v="1"/>
    <n v="11"/>
    <n v="3"/>
    <n v="4"/>
    <n v="80"/>
    <n v="0"/>
    <n v="10"/>
    <n v="2"/>
    <n v="3"/>
    <n v="5"/>
    <n v="1"/>
    <n v="4"/>
    <n v="3"/>
  </r>
  <r>
    <x v="30"/>
    <x v="1"/>
    <x v="0"/>
    <n v="650"/>
    <x v="1"/>
    <n v="9"/>
    <n v="1"/>
    <x v="2"/>
    <x v="0"/>
    <x v="550"/>
    <n v="2"/>
    <x v="1"/>
    <n v="37"/>
    <n v="3"/>
    <n v="1"/>
    <x v="2"/>
    <n v="1"/>
    <x v="1"/>
    <n v="2500"/>
    <n v="4344"/>
    <n v="1"/>
    <s v="Y"/>
    <x v="1"/>
    <n v="14"/>
    <n v="3"/>
    <n v="4"/>
    <n v="80"/>
    <n v="1"/>
    <n v="5"/>
    <n v="2"/>
    <n v="4"/>
    <n v="4"/>
    <n v="3"/>
    <n v="0"/>
    <n v="2"/>
  </r>
  <r>
    <x v="22"/>
    <x v="1"/>
    <x v="0"/>
    <n v="141"/>
    <x v="2"/>
    <n v="3"/>
    <n v="3"/>
    <x v="5"/>
    <x v="0"/>
    <x v="551"/>
    <n v="3"/>
    <x v="0"/>
    <n v="44"/>
    <n v="4"/>
    <n v="2"/>
    <x v="8"/>
    <n v="2"/>
    <x v="1"/>
    <n v="6389"/>
    <n v="18767"/>
    <n v="9"/>
    <s v="Y"/>
    <x v="1"/>
    <n v="15"/>
    <n v="3"/>
    <n v="3"/>
    <n v="80"/>
    <n v="1"/>
    <n v="12"/>
    <n v="3"/>
    <n v="1"/>
    <n v="8"/>
    <n v="3"/>
    <n v="3"/>
    <n v="6"/>
  </r>
  <r>
    <x v="29"/>
    <x v="1"/>
    <x v="0"/>
    <n v="832"/>
    <x v="1"/>
    <n v="9"/>
    <n v="3"/>
    <x v="2"/>
    <x v="0"/>
    <x v="552"/>
    <n v="3"/>
    <x v="1"/>
    <n v="81"/>
    <n v="3"/>
    <n v="4"/>
    <x v="4"/>
    <n v="4"/>
    <x v="1"/>
    <n v="11103"/>
    <n v="20420"/>
    <n v="7"/>
    <s v="Y"/>
    <x v="1"/>
    <n v="11"/>
    <n v="3"/>
    <n v="3"/>
    <n v="80"/>
    <n v="0"/>
    <n v="30"/>
    <n v="1"/>
    <n v="2"/>
    <n v="10"/>
    <n v="7"/>
    <n v="1"/>
    <n v="1"/>
  </r>
  <r>
    <x v="32"/>
    <x v="1"/>
    <x v="0"/>
    <n v="804"/>
    <x v="1"/>
    <n v="2"/>
    <n v="1"/>
    <x v="2"/>
    <x v="0"/>
    <x v="553"/>
    <n v="4"/>
    <x v="0"/>
    <n v="86"/>
    <n v="2"/>
    <n v="1"/>
    <x v="1"/>
    <n v="4"/>
    <x v="0"/>
    <n v="2342"/>
    <n v="22929"/>
    <n v="0"/>
    <s v="Y"/>
    <x v="0"/>
    <n v="20"/>
    <n v="4"/>
    <n v="4"/>
    <n v="80"/>
    <n v="0"/>
    <n v="5"/>
    <n v="2"/>
    <n v="2"/>
    <n v="4"/>
    <n v="2"/>
    <n v="2"/>
    <n v="3"/>
  </r>
  <r>
    <x v="4"/>
    <x v="1"/>
    <x v="0"/>
    <n v="975"/>
    <x v="1"/>
    <n v="7"/>
    <n v="3"/>
    <x v="2"/>
    <x v="0"/>
    <x v="554"/>
    <n v="4"/>
    <x v="0"/>
    <n v="55"/>
    <n v="2"/>
    <n v="2"/>
    <x v="4"/>
    <n v="1"/>
    <x v="0"/>
    <n v="6811"/>
    <n v="23398"/>
    <n v="8"/>
    <s v="Y"/>
    <x v="1"/>
    <n v="19"/>
    <n v="3"/>
    <n v="1"/>
    <n v="80"/>
    <n v="0"/>
    <n v="9"/>
    <n v="2"/>
    <n v="1"/>
    <n v="7"/>
    <n v="6"/>
    <n v="0"/>
    <n v="7"/>
  </r>
  <r>
    <x v="11"/>
    <x v="1"/>
    <x v="0"/>
    <n v="1090"/>
    <x v="0"/>
    <n v="10"/>
    <n v="3"/>
    <x v="3"/>
    <x v="0"/>
    <x v="555"/>
    <n v="4"/>
    <x v="1"/>
    <n v="83"/>
    <n v="3"/>
    <n v="1"/>
    <x v="6"/>
    <n v="2"/>
    <x v="2"/>
    <n v="2297"/>
    <n v="17967"/>
    <n v="1"/>
    <s v="Y"/>
    <x v="1"/>
    <n v="14"/>
    <n v="3"/>
    <n v="4"/>
    <n v="80"/>
    <n v="2"/>
    <n v="2"/>
    <n v="2"/>
    <n v="3"/>
    <n v="2"/>
    <n v="2"/>
    <n v="2"/>
    <n v="2"/>
  </r>
  <r>
    <x v="16"/>
    <x v="1"/>
    <x v="0"/>
    <n v="346"/>
    <x v="1"/>
    <n v="6"/>
    <n v="3"/>
    <x v="0"/>
    <x v="0"/>
    <x v="556"/>
    <n v="4"/>
    <x v="1"/>
    <n v="86"/>
    <n v="3"/>
    <n v="2"/>
    <x v="2"/>
    <n v="4"/>
    <x v="0"/>
    <n v="2450"/>
    <n v="10919"/>
    <n v="2"/>
    <s v="Y"/>
    <x v="1"/>
    <n v="17"/>
    <n v="3"/>
    <n v="4"/>
    <n v="80"/>
    <n v="0"/>
    <n v="19"/>
    <n v="4"/>
    <n v="3"/>
    <n v="2"/>
    <n v="2"/>
    <n v="2"/>
    <n v="2"/>
  </r>
  <r>
    <x v="10"/>
    <x v="1"/>
    <x v="2"/>
    <n v="1225"/>
    <x v="1"/>
    <n v="2"/>
    <n v="4"/>
    <x v="0"/>
    <x v="0"/>
    <x v="557"/>
    <n v="4"/>
    <x v="0"/>
    <n v="61"/>
    <n v="3"/>
    <n v="2"/>
    <x v="4"/>
    <n v="1"/>
    <x v="2"/>
    <n v="5093"/>
    <n v="4761"/>
    <n v="2"/>
    <s v="Y"/>
    <x v="1"/>
    <n v="11"/>
    <n v="3"/>
    <n v="1"/>
    <n v="80"/>
    <n v="1"/>
    <n v="16"/>
    <n v="2"/>
    <n v="4"/>
    <n v="1"/>
    <n v="0"/>
    <n v="0"/>
    <n v="0"/>
  </r>
  <r>
    <x v="5"/>
    <x v="1"/>
    <x v="1"/>
    <n v="430"/>
    <x v="1"/>
    <n v="24"/>
    <n v="4"/>
    <x v="0"/>
    <x v="0"/>
    <x v="558"/>
    <n v="1"/>
    <x v="1"/>
    <n v="80"/>
    <n v="3"/>
    <n v="2"/>
    <x v="2"/>
    <n v="4"/>
    <x v="1"/>
    <n v="5309"/>
    <n v="21146"/>
    <n v="1"/>
    <s v="Y"/>
    <x v="1"/>
    <n v="15"/>
    <n v="3"/>
    <n v="4"/>
    <n v="80"/>
    <n v="2"/>
    <n v="10"/>
    <n v="2"/>
    <n v="3"/>
    <n v="10"/>
    <n v="8"/>
    <n v="4"/>
    <n v="7"/>
  </r>
  <r>
    <x v="8"/>
    <x v="1"/>
    <x v="0"/>
    <n v="268"/>
    <x v="1"/>
    <n v="2"/>
    <n v="5"/>
    <x v="2"/>
    <x v="0"/>
    <x v="559"/>
    <n v="4"/>
    <x v="1"/>
    <n v="92"/>
    <n v="3"/>
    <n v="1"/>
    <x v="1"/>
    <n v="3"/>
    <x v="1"/>
    <n v="3057"/>
    <n v="20471"/>
    <n v="6"/>
    <s v="Y"/>
    <x v="0"/>
    <n v="13"/>
    <n v="3"/>
    <n v="2"/>
    <n v="80"/>
    <n v="1"/>
    <n v="6"/>
    <n v="0"/>
    <n v="1"/>
    <n v="1"/>
    <n v="0"/>
    <n v="0"/>
    <n v="1"/>
  </r>
  <r>
    <x v="13"/>
    <x v="1"/>
    <x v="0"/>
    <n v="167"/>
    <x v="1"/>
    <n v="8"/>
    <n v="5"/>
    <x v="0"/>
    <x v="0"/>
    <x v="560"/>
    <n v="2"/>
    <x v="0"/>
    <n v="32"/>
    <n v="3"/>
    <n v="2"/>
    <x v="3"/>
    <n v="1"/>
    <x v="2"/>
    <n v="5121"/>
    <n v="4187"/>
    <n v="3"/>
    <s v="Y"/>
    <x v="1"/>
    <n v="14"/>
    <n v="3"/>
    <n v="3"/>
    <n v="80"/>
    <n v="1"/>
    <n v="7"/>
    <n v="3"/>
    <n v="3"/>
    <n v="0"/>
    <n v="0"/>
    <n v="0"/>
    <n v="0"/>
  </r>
  <r>
    <x v="39"/>
    <x v="1"/>
    <x v="0"/>
    <n v="621"/>
    <x v="0"/>
    <n v="3"/>
    <n v="4"/>
    <x v="3"/>
    <x v="0"/>
    <x v="561"/>
    <n v="3"/>
    <x v="1"/>
    <n v="31"/>
    <n v="2"/>
    <n v="4"/>
    <x v="5"/>
    <n v="1"/>
    <x v="1"/>
    <n v="16856"/>
    <n v="10084"/>
    <n v="1"/>
    <s v="Y"/>
    <x v="1"/>
    <n v="11"/>
    <n v="3"/>
    <n v="1"/>
    <n v="80"/>
    <n v="0"/>
    <n v="34"/>
    <n v="3"/>
    <n v="4"/>
    <n v="34"/>
    <n v="6"/>
    <n v="1"/>
    <n v="16"/>
  </r>
  <r>
    <x v="3"/>
    <x v="0"/>
    <x v="0"/>
    <n v="527"/>
    <x v="1"/>
    <n v="1"/>
    <n v="4"/>
    <x v="1"/>
    <x v="0"/>
    <x v="562"/>
    <n v="4"/>
    <x v="1"/>
    <n v="63"/>
    <n v="3"/>
    <n v="1"/>
    <x v="1"/>
    <n v="4"/>
    <x v="0"/>
    <n v="2686"/>
    <n v="5207"/>
    <n v="1"/>
    <s v="Y"/>
    <x v="0"/>
    <n v="13"/>
    <n v="3"/>
    <n v="3"/>
    <n v="80"/>
    <n v="0"/>
    <n v="10"/>
    <n v="2"/>
    <n v="2"/>
    <n v="10"/>
    <n v="9"/>
    <n v="7"/>
    <n v="8"/>
  </r>
  <r>
    <x v="36"/>
    <x v="1"/>
    <x v="0"/>
    <n v="883"/>
    <x v="0"/>
    <n v="26"/>
    <n v="1"/>
    <x v="2"/>
    <x v="0"/>
    <x v="563"/>
    <n v="3"/>
    <x v="0"/>
    <n v="32"/>
    <n v="3"/>
    <n v="2"/>
    <x v="0"/>
    <n v="4"/>
    <x v="0"/>
    <n v="6180"/>
    <n v="22807"/>
    <n v="1"/>
    <s v="Y"/>
    <x v="1"/>
    <n v="23"/>
    <n v="4"/>
    <n v="2"/>
    <n v="80"/>
    <n v="0"/>
    <n v="6"/>
    <n v="5"/>
    <n v="2"/>
    <n v="6"/>
    <n v="5"/>
    <n v="1"/>
    <n v="4"/>
  </r>
  <r>
    <x v="28"/>
    <x v="1"/>
    <x v="0"/>
    <n v="954"/>
    <x v="0"/>
    <n v="2"/>
    <n v="2"/>
    <x v="4"/>
    <x v="0"/>
    <x v="564"/>
    <n v="2"/>
    <x v="1"/>
    <n v="46"/>
    <n v="1"/>
    <n v="2"/>
    <x v="6"/>
    <n v="3"/>
    <x v="0"/>
    <n v="6632"/>
    <n v="12388"/>
    <n v="0"/>
    <s v="Y"/>
    <x v="1"/>
    <n v="13"/>
    <n v="3"/>
    <n v="1"/>
    <n v="80"/>
    <n v="0"/>
    <n v="9"/>
    <n v="3"/>
    <n v="3"/>
    <n v="8"/>
    <n v="7"/>
    <n v="3"/>
    <n v="1"/>
  </r>
  <r>
    <x v="30"/>
    <x v="1"/>
    <x v="0"/>
    <n v="310"/>
    <x v="1"/>
    <n v="10"/>
    <n v="1"/>
    <x v="2"/>
    <x v="0"/>
    <x v="565"/>
    <n v="1"/>
    <x v="1"/>
    <n v="79"/>
    <n v="4"/>
    <n v="1"/>
    <x v="1"/>
    <n v="3"/>
    <x v="0"/>
    <n v="3505"/>
    <n v="19630"/>
    <n v="1"/>
    <s v="Y"/>
    <x v="1"/>
    <n v="18"/>
    <n v="3"/>
    <n v="4"/>
    <n v="80"/>
    <n v="0"/>
    <n v="2"/>
    <n v="3"/>
    <n v="3"/>
    <n v="2"/>
    <n v="2"/>
    <n v="0"/>
    <n v="2"/>
  </r>
  <r>
    <x v="40"/>
    <x v="0"/>
    <x v="1"/>
    <n v="719"/>
    <x v="0"/>
    <n v="27"/>
    <n v="2"/>
    <x v="0"/>
    <x v="0"/>
    <x v="566"/>
    <n v="2"/>
    <x v="0"/>
    <n v="77"/>
    <n v="4"/>
    <n v="2"/>
    <x v="0"/>
    <n v="3"/>
    <x v="0"/>
    <n v="6397"/>
    <n v="10339"/>
    <n v="4"/>
    <s v="Y"/>
    <x v="0"/>
    <n v="12"/>
    <n v="3"/>
    <n v="4"/>
    <n v="80"/>
    <n v="0"/>
    <n v="8"/>
    <n v="2"/>
    <n v="3"/>
    <n v="5"/>
    <n v="4"/>
    <n v="1"/>
    <n v="3"/>
  </r>
  <r>
    <x v="13"/>
    <x v="1"/>
    <x v="0"/>
    <n v="304"/>
    <x v="0"/>
    <n v="2"/>
    <n v="3"/>
    <x v="1"/>
    <x v="0"/>
    <x v="567"/>
    <n v="4"/>
    <x v="1"/>
    <n v="60"/>
    <n v="3"/>
    <n v="2"/>
    <x v="0"/>
    <n v="4"/>
    <x v="0"/>
    <n v="6274"/>
    <n v="18686"/>
    <n v="1"/>
    <s v="Y"/>
    <x v="1"/>
    <n v="22"/>
    <n v="4"/>
    <n v="3"/>
    <n v="80"/>
    <n v="0"/>
    <n v="6"/>
    <n v="5"/>
    <n v="3"/>
    <n v="6"/>
    <n v="5"/>
    <n v="1"/>
    <n v="4"/>
  </r>
  <r>
    <x v="27"/>
    <x v="0"/>
    <x v="0"/>
    <n v="725"/>
    <x v="1"/>
    <n v="2"/>
    <n v="3"/>
    <x v="2"/>
    <x v="0"/>
    <x v="568"/>
    <n v="4"/>
    <x v="1"/>
    <n v="78"/>
    <n v="3"/>
    <n v="5"/>
    <x v="5"/>
    <n v="1"/>
    <x v="1"/>
    <n v="19859"/>
    <n v="21199"/>
    <n v="5"/>
    <s v="Y"/>
    <x v="0"/>
    <n v="13"/>
    <n v="3"/>
    <n v="4"/>
    <n v="80"/>
    <n v="1"/>
    <n v="24"/>
    <n v="2"/>
    <n v="3"/>
    <n v="5"/>
    <n v="2"/>
    <n v="1"/>
    <n v="4"/>
  </r>
  <r>
    <x v="9"/>
    <x v="1"/>
    <x v="2"/>
    <n v="1434"/>
    <x v="0"/>
    <n v="8"/>
    <n v="4"/>
    <x v="0"/>
    <x v="0"/>
    <x v="569"/>
    <n v="1"/>
    <x v="1"/>
    <n v="76"/>
    <n v="2"/>
    <n v="3"/>
    <x v="0"/>
    <n v="1"/>
    <x v="0"/>
    <n v="7587"/>
    <n v="14229"/>
    <n v="1"/>
    <s v="Y"/>
    <x v="1"/>
    <n v="15"/>
    <n v="3"/>
    <n v="2"/>
    <n v="80"/>
    <n v="0"/>
    <n v="10"/>
    <n v="1"/>
    <n v="3"/>
    <n v="10"/>
    <n v="7"/>
    <n v="0"/>
    <n v="9"/>
  </r>
  <r>
    <x v="39"/>
    <x v="1"/>
    <x v="2"/>
    <n v="715"/>
    <x v="1"/>
    <n v="19"/>
    <n v="4"/>
    <x v="2"/>
    <x v="0"/>
    <x v="570"/>
    <n v="4"/>
    <x v="1"/>
    <n v="41"/>
    <n v="3"/>
    <n v="1"/>
    <x v="1"/>
    <n v="4"/>
    <x v="1"/>
    <n v="4258"/>
    <n v="26589"/>
    <n v="0"/>
    <s v="Y"/>
    <x v="1"/>
    <n v="18"/>
    <n v="3"/>
    <n v="1"/>
    <n v="80"/>
    <n v="1"/>
    <n v="5"/>
    <n v="3"/>
    <n v="3"/>
    <n v="4"/>
    <n v="3"/>
    <n v="1"/>
    <n v="2"/>
  </r>
  <r>
    <x v="25"/>
    <x v="1"/>
    <x v="1"/>
    <n v="575"/>
    <x v="1"/>
    <n v="1"/>
    <n v="2"/>
    <x v="0"/>
    <x v="0"/>
    <x v="571"/>
    <n v="1"/>
    <x v="0"/>
    <n v="71"/>
    <n v="1"/>
    <n v="1"/>
    <x v="2"/>
    <n v="4"/>
    <x v="2"/>
    <n v="4364"/>
    <n v="5288"/>
    <n v="3"/>
    <s v="Y"/>
    <x v="1"/>
    <n v="14"/>
    <n v="3"/>
    <n v="1"/>
    <n v="80"/>
    <n v="1"/>
    <n v="5"/>
    <n v="2"/>
    <n v="3"/>
    <n v="2"/>
    <n v="2"/>
    <n v="2"/>
    <n v="0"/>
  </r>
  <r>
    <x v="11"/>
    <x v="1"/>
    <x v="0"/>
    <n v="657"/>
    <x v="1"/>
    <n v="27"/>
    <n v="3"/>
    <x v="2"/>
    <x v="0"/>
    <x v="572"/>
    <n v="2"/>
    <x v="0"/>
    <n v="66"/>
    <n v="3"/>
    <n v="2"/>
    <x v="4"/>
    <n v="3"/>
    <x v="1"/>
    <n v="4335"/>
    <n v="25549"/>
    <n v="4"/>
    <s v="Y"/>
    <x v="1"/>
    <n v="12"/>
    <n v="3"/>
    <n v="1"/>
    <n v="80"/>
    <n v="1"/>
    <n v="11"/>
    <n v="3"/>
    <n v="2"/>
    <n v="8"/>
    <n v="7"/>
    <n v="1"/>
    <n v="1"/>
  </r>
  <r>
    <x v="25"/>
    <x v="0"/>
    <x v="0"/>
    <n v="1146"/>
    <x v="0"/>
    <n v="8"/>
    <n v="3"/>
    <x v="4"/>
    <x v="0"/>
    <x v="573"/>
    <n v="4"/>
    <x v="1"/>
    <n v="38"/>
    <n v="2"/>
    <n v="2"/>
    <x v="0"/>
    <n v="1"/>
    <x v="0"/>
    <n v="5326"/>
    <n v="3064"/>
    <n v="6"/>
    <s v="Y"/>
    <x v="1"/>
    <n v="17"/>
    <n v="3"/>
    <n v="3"/>
    <n v="80"/>
    <n v="0"/>
    <n v="6"/>
    <n v="2"/>
    <n v="2"/>
    <n v="4"/>
    <n v="3"/>
    <n v="1"/>
    <n v="2"/>
  </r>
  <r>
    <x v="13"/>
    <x v="1"/>
    <x v="0"/>
    <n v="182"/>
    <x v="1"/>
    <n v="1"/>
    <n v="4"/>
    <x v="0"/>
    <x v="0"/>
    <x v="574"/>
    <n v="2"/>
    <x v="0"/>
    <n v="72"/>
    <n v="4"/>
    <n v="1"/>
    <x v="1"/>
    <n v="4"/>
    <x v="0"/>
    <n v="3280"/>
    <n v="13551"/>
    <n v="2"/>
    <s v="Y"/>
    <x v="1"/>
    <n v="16"/>
    <n v="3"/>
    <n v="3"/>
    <n v="80"/>
    <n v="0"/>
    <n v="10"/>
    <n v="2"/>
    <n v="3"/>
    <n v="4"/>
    <n v="2"/>
    <n v="1"/>
    <n v="3"/>
  </r>
  <r>
    <x v="33"/>
    <x v="1"/>
    <x v="0"/>
    <n v="376"/>
    <x v="1"/>
    <n v="19"/>
    <n v="4"/>
    <x v="2"/>
    <x v="0"/>
    <x v="575"/>
    <n v="4"/>
    <x v="0"/>
    <n v="95"/>
    <n v="3"/>
    <n v="2"/>
    <x v="3"/>
    <n v="1"/>
    <x v="2"/>
    <n v="5485"/>
    <n v="22670"/>
    <n v="9"/>
    <s v="Y"/>
    <x v="0"/>
    <n v="11"/>
    <n v="3"/>
    <n v="2"/>
    <n v="80"/>
    <n v="2"/>
    <n v="9"/>
    <n v="4"/>
    <n v="3"/>
    <n v="5"/>
    <n v="3"/>
    <n v="1"/>
    <n v="4"/>
  </r>
  <r>
    <x v="4"/>
    <x v="1"/>
    <x v="1"/>
    <n v="829"/>
    <x v="0"/>
    <n v="8"/>
    <n v="1"/>
    <x v="3"/>
    <x v="0"/>
    <x v="576"/>
    <n v="3"/>
    <x v="1"/>
    <n v="84"/>
    <n v="3"/>
    <n v="2"/>
    <x v="0"/>
    <n v="4"/>
    <x v="1"/>
    <n v="4342"/>
    <n v="24008"/>
    <n v="0"/>
    <s v="Y"/>
    <x v="1"/>
    <n v="19"/>
    <n v="3"/>
    <n v="2"/>
    <n v="80"/>
    <n v="1"/>
    <n v="5"/>
    <n v="3"/>
    <n v="3"/>
    <n v="4"/>
    <n v="2"/>
    <n v="1"/>
    <n v="1"/>
  </r>
  <r>
    <x v="2"/>
    <x v="1"/>
    <x v="0"/>
    <n v="571"/>
    <x v="1"/>
    <n v="10"/>
    <n v="1"/>
    <x v="0"/>
    <x v="0"/>
    <x v="577"/>
    <n v="4"/>
    <x v="0"/>
    <n v="82"/>
    <n v="3"/>
    <n v="1"/>
    <x v="1"/>
    <n v="1"/>
    <x v="2"/>
    <n v="2782"/>
    <n v="19905"/>
    <n v="0"/>
    <s v="Y"/>
    <x v="0"/>
    <n v="13"/>
    <n v="3"/>
    <n v="2"/>
    <n v="80"/>
    <n v="2"/>
    <n v="6"/>
    <n v="3"/>
    <n v="2"/>
    <n v="5"/>
    <n v="3"/>
    <n v="4"/>
    <n v="3"/>
  </r>
  <r>
    <x v="8"/>
    <x v="1"/>
    <x v="1"/>
    <n v="240"/>
    <x v="1"/>
    <n v="2"/>
    <n v="4"/>
    <x v="0"/>
    <x v="0"/>
    <x v="578"/>
    <n v="1"/>
    <x v="0"/>
    <n v="75"/>
    <n v="4"/>
    <n v="2"/>
    <x v="3"/>
    <n v="1"/>
    <x v="0"/>
    <n v="5980"/>
    <n v="26085"/>
    <n v="6"/>
    <s v="Y"/>
    <x v="0"/>
    <n v="12"/>
    <n v="3"/>
    <n v="4"/>
    <n v="80"/>
    <n v="0"/>
    <n v="17"/>
    <n v="2"/>
    <n v="3"/>
    <n v="15"/>
    <n v="7"/>
    <n v="4"/>
    <n v="12"/>
  </r>
  <r>
    <x v="13"/>
    <x v="1"/>
    <x v="0"/>
    <n v="121"/>
    <x v="1"/>
    <n v="2"/>
    <n v="4"/>
    <x v="2"/>
    <x v="0"/>
    <x v="579"/>
    <n v="3"/>
    <x v="0"/>
    <n v="86"/>
    <n v="2"/>
    <n v="1"/>
    <x v="1"/>
    <n v="1"/>
    <x v="0"/>
    <n v="4381"/>
    <n v="7530"/>
    <n v="1"/>
    <s v="Y"/>
    <x v="1"/>
    <n v="11"/>
    <n v="3"/>
    <n v="3"/>
    <n v="80"/>
    <n v="0"/>
    <n v="6"/>
    <n v="3"/>
    <n v="3"/>
    <n v="6"/>
    <n v="5"/>
    <n v="1"/>
    <n v="3"/>
  </r>
  <r>
    <x v="10"/>
    <x v="1"/>
    <x v="0"/>
    <n v="384"/>
    <x v="0"/>
    <n v="8"/>
    <n v="4"/>
    <x v="0"/>
    <x v="0"/>
    <x v="580"/>
    <n v="1"/>
    <x v="0"/>
    <n v="72"/>
    <n v="3"/>
    <n v="1"/>
    <x v="6"/>
    <n v="4"/>
    <x v="1"/>
    <n v="2572"/>
    <n v="20317"/>
    <n v="1"/>
    <s v="Y"/>
    <x v="1"/>
    <n v="16"/>
    <n v="3"/>
    <n v="2"/>
    <n v="80"/>
    <n v="1"/>
    <n v="3"/>
    <n v="1"/>
    <n v="2"/>
    <n v="3"/>
    <n v="2"/>
    <n v="0"/>
    <n v="2"/>
  </r>
  <r>
    <x v="7"/>
    <x v="1"/>
    <x v="0"/>
    <n v="921"/>
    <x v="1"/>
    <n v="1"/>
    <n v="3"/>
    <x v="0"/>
    <x v="0"/>
    <x v="581"/>
    <n v="4"/>
    <x v="1"/>
    <n v="38"/>
    <n v="1"/>
    <n v="1"/>
    <x v="2"/>
    <n v="3"/>
    <x v="1"/>
    <n v="3833"/>
    <n v="24375"/>
    <n v="3"/>
    <s v="Y"/>
    <x v="1"/>
    <n v="21"/>
    <n v="4"/>
    <n v="3"/>
    <n v="80"/>
    <n v="2"/>
    <n v="7"/>
    <n v="2"/>
    <n v="3"/>
    <n v="2"/>
    <n v="2"/>
    <n v="0"/>
    <n v="2"/>
  </r>
  <r>
    <x v="32"/>
    <x v="1"/>
    <x v="1"/>
    <n v="791"/>
    <x v="1"/>
    <n v="2"/>
    <n v="2"/>
    <x v="2"/>
    <x v="0"/>
    <x v="582"/>
    <n v="3"/>
    <x v="0"/>
    <n v="38"/>
    <n v="4"/>
    <n v="2"/>
    <x v="4"/>
    <n v="2"/>
    <x v="1"/>
    <n v="4244"/>
    <n v="9931"/>
    <n v="1"/>
    <s v="Y"/>
    <x v="1"/>
    <n v="24"/>
    <n v="4"/>
    <n v="4"/>
    <n v="80"/>
    <n v="1"/>
    <n v="8"/>
    <n v="2"/>
    <n v="3"/>
    <n v="8"/>
    <n v="7"/>
    <n v="3"/>
    <n v="7"/>
  </r>
  <r>
    <x v="13"/>
    <x v="1"/>
    <x v="0"/>
    <n v="1111"/>
    <x v="0"/>
    <n v="8"/>
    <n v="2"/>
    <x v="0"/>
    <x v="0"/>
    <x v="583"/>
    <n v="3"/>
    <x v="0"/>
    <n v="93"/>
    <n v="3"/>
    <n v="2"/>
    <x v="0"/>
    <n v="1"/>
    <x v="1"/>
    <n v="6500"/>
    <n v="13305"/>
    <n v="5"/>
    <s v="Y"/>
    <x v="1"/>
    <n v="17"/>
    <n v="3"/>
    <n v="2"/>
    <n v="80"/>
    <n v="1"/>
    <n v="6"/>
    <n v="1"/>
    <n v="3"/>
    <n v="3"/>
    <n v="2"/>
    <n v="1"/>
    <n v="2"/>
  </r>
  <r>
    <x v="19"/>
    <x v="1"/>
    <x v="1"/>
    <n v="570"/>
    <x v="1"/>
    <n v="8"/>
    <n v="3"/>
    <x v="0"/>
    <x v="0"/>
    <x v="584"/>
    <n v="2"/>
    <x v="1"/>
    <n v="66"/>
    <n v="3"/>
    <n v="5"/>
    <x v="5"/>
    <n v="4"/>
    <x v="2"/>
    <n v="18430"/>
    <n v="16225"/>
    <n v="1"/>
    <s v="Y"/>
    <x v="1"/>
    <n v="13"/>
    <n v="3"/>
    <n v="2"/>
    <n v="80"/>
    <n v="1"/>
    <n v="24"/>
    <n v="4"/>
    <n v="2"/>
    <n v="24"/>
    <n v="7"/>
    <n v="14"/>
    <n v="9"/>
  </r>
  <r>
    <x v="30"/>
    <x v="0"/>
    <x v="0"/>
    <n v="1243"/>
    <x v="1"/>
    <n v="6"/>
    <n v="3"/>
    <x v="0"/>
    <x v="0"/>
    <x v="585"/>
    <n v="3"/>
    <x v="1"/>
    <n v="63"/>
    <n v="4"/>
    <n v="1"/>
    <x v="2"/>
    <n v="1"/>
    <x v="1"/>
    <n v="1601"/>
    <n v="3445"/>
    <n v="1"/>
    <s v="Y"/>
    <x v="0"/>
    <n v="21"/>
    <n v="4"/>
    <n v="3"/>
    <n v="80"/>
    <n v="2"/>
    <n v="1"/>
    <n v="2"/>
    <n v="3"/>
    <n v="0"/>
    <n v="0"/>
    <n v="0"/>
    <n v="0"/>
  </r>
  <r>
    <x v="17"/>
    <x v="1"/>
    <x v="2"/>
    <n v="1092"/>
    <x v="1"/>
    <n v="9"/>
    <n v="3"/>
    <x v="0"/>
    <x v="0"/>
    <x v="586"/>
    <n v="3"/>
    <x v="1"/>
    <n v="60"/>
    <n v="2"/>
    <n v="1"/>
    <x v="2"/>
    <n v="2"/>
    <x v="2"/>
    <n v="2694"/>
    <n v="26551"/>
    <n v="1"/>
    <s v="Y"/>
    <x v="1"/>
    <n v="11"/>
    <n v="3"/>
    <n v="3"/>
    <n v="80"/>
    <n v="3"/>
    <n v="1"/>
    <n v="4"/>
    <n v="3"/>
    <n v="1"/>
    <n v="0"/>
    <n v="0"/>
    <n v="0"/>
  </r>
  <r>
    <x v="39"/>
    <x v="1"/>
    <x v="0"/>
    <n v="1325"/>
    <x v="1"/>
    <n v="11"/>
    <n v="4"/>
    <x v="0"/>
    <x v="0"/>
    <x v="587"/>
    <n v="4"/>
    <x v="0"/>
    <n v="82"/>
    <n v="3"/>
    <n v="2"/>
    <x v="2"/>
    <n v="3"/>
    <x v="1"/>
    <n v="3149"/>
    <n v="21821"/>
    <n v="8"/>
    <s v="Y"/>
    <x v="1"/>
    <n v="20"/>
    <n v="4"/>
    <n v="2"/>
    <n v="80"/>
    <n v="1"/>
    <n v="9"/>
    <n v="3"/>
    <n v="3"/>
    <n v="5"/>
    <n v="2"/>
    <n v="1"/>
    <n v="4"/>
  </r>
  <r>
    <x v="24"/>
    <x v="1"/>
    <x v="0"/>
    <n v="691"/>
    <x v="1"/>
    <n v="2"/>
    <n v="3"/>
    <x v="2"/>
    <x v="0"/>
    <x v="588"/>
    <n v="3"/>
    <x v="1"/>
    <n v="64"/>
    <n v="3"/>
    <n v="4"/>
    <x v="7"/>
    <n v="3"/>
    <x v="1"/>
    <n v="17639"/>
    <n v="6881"/>
    <n v="5"/>
    <s v="Y"/>
    <x v="1"/>
    <n v="16"/>
    <n v="3"/>
    <n v="4"/>
    <n v="80"/>
    <n v="0"/>
    <n v="30"/>
    <n v="3"/>
    <n v="3"/>
    <n v="4"/>
    <n v="3"/>
    <n v="0"/>
    <n v="3"/>
  </r>
  <r>
    <x v="11"/>
    <x v="0"/>
    <x v="0"/>
    <n v="805"/>
    <x v="1"/>
    <n v="1"/>
    <n v="2"/>
    <x v="0"/>
    <x v="0"/>
    <x v="589"/>
    <n v="2"/>
    <x v="0"/>
    <n v="36"/>
    <n v="2"/>
    <n v="1"/>
    <x v="2"/>
    <n v="1"/>
    <x v="1"/>
    <n v="2319"/>
    <n v="6689"/>
    <n v="1"/>
    <s v="Y"/>
    <x v="0"/>
    <n v="11"/>
    <n v="3"/>
    <n v="4"/>
    <n v="80"/>
    <n v="1"/>
    <n v="1"/>
    <n v="1"/>
    <n v="3"/>
    <n v="1"/>
    <n v="0"/>
    <n v="0"/>
    <n v="0"/>
  </r>
  <r>
    <x v="3"/>
    <x v="1"/>
    <x v="0"/>
    <n v="213"/>
    <x v="1"/>
    <n v="7"/>
    <n v="3"/>
    <x v="2"/>
    <x v="0"/>
    <x v="590"/>
    <n v="3"/>
    <x v="1"/>
    <n v="49"/>
    <n v="3"/>
    <n v="3"/>
    <x v="7"/>
    <n v="3"/>
    <x v="1"/>
    <n v="11691"/>
    <n v="25995"/>
    <n v="0"/>
    <s v="Y"/>
    <x v="1"/>
    <n v="11"/>
    <n v="3"/>
    <n v="4"/>
    <n v="80"/>
    <n v="0"/>
    <n v="14"/>
    <n v="3"/>
    <n v="4"/>
    <n v="13"/>
    <n v="9"/>
    <n v="3"/>
    <n v="7"/>
  </r>
  <r>
    <x v="3"/>
    <x v="0"/>
    <x v="0"/>
    <n v="118"/>
    <x v="0"/>
    <n v="16"/>
    <n v="3"/>
    <x v="3"/>
    <x v="0"/>
    <x v="591"/>
    <n v="1"/>
    <x v="0"/>
    <n v="69"/>
    <n v="3"/>
    <n v="2"/>
    <x v="0"/>
    <n v="1"/>
    <x v="0"/>
    <n v="5324"/>
    <n v="26507"/>
    <n v="5"/>
    <s v="Y"/>
    <x v="1"/>
    <n v="15"/>
    <n v="3"/>
    <n v="3"/>
    <n v="80"/>
    <n v="0"/>
    <n v="6"/>
    <n v="3"/>
    <n v="3"/>
    <n v="3"/>
    <n v="2"/>
    <n v="0"/>
    <n v="2"/>
  </r>
  <r>
    <x v="40"/>
    <x v="1"/>
    <x v="0"/>
    <n v="202"/>
    <x v="1"/>
    <n v="2"/>
    <n v="2"/>
    <x v="1"/>
    <x v="0"/>
    <x v="592"/>
    <n v="3"/>
    <x v="0"/>
    <n v="33"/>
    <n v="3"/>
    <n v="4"/>
    <x v="5"/>
    <n v="4"/>
    <x v="1"/>
    <n v="16752"/>
    <n v="12982"/>
    <n v="1"/>
    <s v="Y"/>
    <x v="0"/>
    <n v="11"/>
    <n v="3"/>
    <n v="3"/>
    <n v="80"/>
    <n v="1"/>
    <n v="26"/>
    <n v="3"/>
    <n v="2"/>
    <n v="26"/>
    <n v="14"/>
    <n v="3"/>
    <n v="0"/>
  </r>
  <r>
    <x v="9"/>
    <x v="1"/>
    <x v="0"/>
    <n v="676"/>
    <x v="1"/>
    <n v="1"/>
    <n v="3"/>
    <x v="1"/>
    <x v="0"/>
    <x v="593"/>
    <n v="3"/>
    <x v="0"/>
    <n v="35"/>
    <n v="3"/>
    <n v="2"/>
    <x v="3"/>
    <n v="2"/>
    <x v="1"/>
    <n v="5228"/>
    <n v="23361"/>
    <n v="0"/>
    <s v="Y"/>
    <x v="1"/>
    <n v="15"/>
    <n v="3"/>
    <n v="1"/>
    <n v="80"/>
    <n v="1"/>
    <n v="10"/>
    <n v="2"/>
    <n v="3"/>
    <n v="9"/>
    <n v="7"/>
    <n v="0"/>
    <n v="5"/>
  </r>
  <r>
    <x v="11"/>
    <x v="1"/>
    <x v="0"/>
    <n v="1252"/>
    <x v="1"/>
    <n v="23"/>
    <n v="2"/>
    <x v="0"/>
    <x v="0"/>
    <x v="594"/>
    <n v="3"/>
    <x v="1"/>
    <n v="81"/>
    <n v="4"/>
    <n v="1"/>
    <x v="1"/>
    <n v="3"/>
    <x v="1"/>
    <n v="2700"/>
    <n v="23779"/>
    <n v="1"/>
    <s v="Y"/>
    <x v="1"/>
    <n v="24"/>
    <n v="4"/>
    <n v="3"/>
    <n v="80"/>
    <n v="1"/>
    <n v="10"/>
    <n v="3"/>
    <n v="3"/>
    <n v="10"/>
    <n v="7"/>
    <n v="0"/>
    <n v="7"/>
  </r>
  <r>
    <x v="34"/>
    <x v="0"/>
    <x v="0"/>
    <n v="286"/>
    <x v="1"/>
    <n v="2"/>
    <n v="4"/>
    <x v="0"/>
    <x v="0"/>
    <x v="595"/>
    <n v="4"/>
    <x v="1"/>
    <n v="31"/>
    <n v="3"/>
    <n v="5"/>
    <x v="7"/>
    <n v="2"/>
    <x v="0"/>
    <n v="19246"/>
    <n v="25761"/>
    <n v="7"/>
    <s v="Y"/>
    <x v="0"/>
    <n v="12"/>
    <n v="3"/>
    <n v="4"/>
    <n v="80"/>
    <n v="0"/>
    <n v="40"/>
    <n v="2"/>
    <n v="3"/>
    <n v="31"/>
    <n v="15"/>
    <n v="13"/>
    <n v="8"/>
  </r>
  <r>
    <x v="10"/>
    <x v="1"/>
    <x v="0"/>
    <n v="1258"/>
    <x v="1"/>
    <n v="1"/>
    <n v="4"/>
    <x v="0"/>
    <x v="0"/>
    <x v="596"/>
    <n v="4"/>
    <x v="0"/>
    <n v="40"/>
    <n v="4"/>
    <n v="1"/>
    <x v="1"/>
    <n v="3"/>
    <x v="0"/>
    <n v="2506"/>
    <n v="13301"/>
    <n v="3"/>
    <s v="Y"/>
    <x v="1"/>
    <n v="13"/>
    <n v="3"/>
    <n v="3"/>
    <n v="80"/>
    <n v="0"/>
    <n v="7"/>
    <n v="0"/>
    <n v="3"/>
    <n v="2"/>
    <n v="2"/>
    <n v="2"/>
    <n v="2"/>
  </r>
  <r>
    <x v="19"/>
    <x v="1"/>
    <x v="0"/>
    <n v="932"/>
    <x v="1"/>
    <n v="1"/>
    <n v="2"/>
    <x v="0"/>
    <x v="0"/>
    <x v="597"/>
    <n v="4"/>
    <x v="0"/>
    <n v="43"/>
    <n v="2"/>
    <n v="2"/>
    <x v="3"/>
    <n v="4"/>
    <x v="1"/>
    <n v="6062"/>
    <n v="4051"/>
    <n v="9"/>
    <s v="Y"/>
    <x v="0"/>
    <n v="13"/>
    <n v="3"/>
    <n v="4"/>
    <n v="80"/>
    <n v="1"/>
    <n v="8"/>
    <n v="4"/>
    <n v="3"/>
    <n v="4"/>
    <n v="3"/>
    <n v="0"/>
    <n v="2"/>
  </r>
  <r>
    <x v="14"/>
    <x v="0"/>
    <x v="0"/>
    <n v="890"/>
    <x v="1"/>
    <n v="2"/>
    <n v="4"/>
    <x v="2"/>
    <x v="0"/>
    <x v="598"/>
    <n v="3"/>
    <x v="1"/>
    <n v="46"/>
    <n v="3"/>
    <n v="1"/>
    <x v="1"/>
    <n v="3"/>
    <x v="0"/>
    <n v="4382"/>
    <n v="16374"/>
    <n v="6"/>
    <s v="Y"/>
    <x v="1"/>
    <n v="17"/>
    <n v="3"/>
    <n v="4"/>
    <n v="80"/>
    <n v="0"/>
    <n v="5"/>
    <n v="3"/>
    <n v="2"/>
    <n v="2"/>
    <n v="2"/>
    <n v="2"/>
    <n v="1"/>
  </r>
  <r>
    <x v="9"/>
    <x v="1"/>
    <x v="0"/>
    <n v="1041"/>
    <x v="2"/>
    <n v="13"/>
    <n v="3"/>
    <x v="5"/>
    <x v="0"/>
    <x v="599"/>
    <n v="3"/>
    <x v="1"/>
    <n v="36"/>
    <n v="3"/>
    <n v="1"/>
    <x v="8"/>
    <n v="2"/>
    <x v="1"/>
    <n v="2143"/>
    <n v="25527"/>
    <n v="4"/>
    <s v="Y"/>
    <x v="1"/>
    <n v="13"/>
    <n v="3"/>
    <n v="2"/>
    <n v="80"/>
    <n v="1"/>
    <n v="8"/>
    <n v="2"/>
    <n v="3"/>
    <n v="5"/>
    <n v="2"/>
    <n v="0"/>
    <n v="4"/>
  </r>
  <r>
    <x v="5"/>
    <x v="1"/>
    <x v="0"/>
    <n v="859"/>
    <x v="1"/>
    <n v="4"/>
    <n v="3"/>
    <x v="0"/>
    <x v="0"/>
    <x v="600"/>
    <n v="3"/>
    <x v="0"/>
    <n v="98"/>
    <n v="2"/>
    <n v="2"/>
    <x v="3"/>
    <n v="3"/>
    <x v="1"/>
    <n v="6162"/>
    <n v="19124"/>
    <n v="1"/>
    <s v="Y"/>
    <x v="1"/>
    <n v="12"/>
    <n v="3"/>
    <n v="3"/>
    <n v="80"/>
    <n v="1"/>
    <n v="14"/>
    <n v="3"/>
    <n v="3"/>
    <n v="14"/>
    <n v="13"/>
    <n v="6"/>
    <n v="8"/>
  </r>
  <r>
    <x v="32"/>
    <x v="1"/>
    <x v="1"/>
    <n v="720"/>
    <x v="1"/>
    <n v="16"/>
    <n v="4"/>
    <x v="2"/>
    <x v="0"/>
    <x v="601"/>
    <n v="1"/>
    <x v="1"/>
    <n v="51"/>
    <n v="2"/>
    <n v="2"/>
    <x v="2"/>
    <n v="3"/>
    <x v="0"/>
    <n v="5094"/>
    <n v="11983"/>
    <n v="6"/>
    <s v="Y"/>
    <x v="1"/>
    <n v="14"/>
    <n v="3"/>
    <n v="4"/>
    <n v="80"/>
    <n v="0"/>
    <n v="10"/>
    <n v="6"/>
    <n v="3"/>
    <n v="1"/>
    <n v="0"/>
    <n v="0"/>
    <n v="0"/>
  </r>
  <r>
    <x v="7"/>
    <x v="1"/>
    <x v="0"/>
    <n v="946"/>
    <x v="1"/>
    <n v="2"/>
    <n v="3"/>
    <x v="2"/>
    <x v="0"/>
    <x v="602"/>
    <n v="3"/>
    <x v="0"/>
    <n v="52"/>
    <n v="2"/>
    <n v="2"/>
    <x v="3"/>
    <n v="4"/>
    <x v="0"/>
    <n v="6877"/>
    <n v="20234"/>
    <n v="5"/>
    <s v="Y"/>
    <x v="0"/>
    <n v="24"/>
    <n v="4"/>
    <n v="2"/>
    <n v="80"/>
    <n v="0"/>
    <n v="12"/>
    <n v="4"/>
    <n v="2"/>
    <n v="0"/>
    <n v="0"/>
    <n v="0"/>
    <n v="0"/>
  </r>
  <r>
    <x v="28"/>
    <x v="1"/>
    <x v="0"/>
    <n v="252"/>
    <x v="1"/>
    <n v="2"/>
    <n v="3"/>
    <x v="0"/>
    <x v="0"/>
    <x v="603"/>
    <n v="2"/>
    <x v="0"/>
    <n v="95"/>
    <n v="2"/>
    <n v="1"/>
    <x v="1"/>
    <n v="3"/>
    <x v="0"/>
    <n v="2274"/>
    <n v="6153"/>
    <n v="1"/>
    <s v="Y"/>
    <x v="1"/>
    <n v="14"/>
    <n v="3"/>
    <n v="4"/>
    <n v="80"/>
    <n v="0"/>
    <n v="1"/>
    <n v="3"/>
    <n v="3"/>
    <n v="1"/>
    <n v="0"/>
    <n v="0"/>
    <n v="0"/>
  </r>
  <r>
    <x v="19"/>
    <x v="1"/>
    <x v="0"/>
    <n v="933"/>
    <x v="1"/>
    <n v="29"/>
    <n v="3"/>
    <x v="0"/>
    <x v="0"/>
    <x v="604"/>
    <n v="2"/>
    <x v="1"/>
    <n v="98"/>
    <n v="3"/>
    <n v="2"/>
    <x v="3"/>
    <n v="2"/>
    <x v="1"/>
    <n v="4434"/>
    <n v="11806"/>
    <n v="1"/>
    <s v="Y"/>
    <x v="1"/>
    <n v="13"/>
    <n v="3"/>
    <n v="4"/>
    <n v="80"/>
    <n v="1"/>
    <n v="10"/>
    <n v="3"/>
    <n v="2"/>
    <n v="9"/>
    <n v="8"/>
    <n v="7"/>
    <n v="8"/>
  </r>
  <r>
    <x v="8"/>
    <x v="1"/>
    <x v="1"/>
    <n v="471"/>
    <x v="1"/>
    <n v="12"/>
    <n v="3"/>
    <x v="0"/>
    <x v="0"/>
    <x v="605"/>
    <n v="1"/>
    <x v="1"/>
    <n v="45"/>
    <n v="2"/>
    <n v="2"/>
    <x v="4"/>
    <n v="1"/>
    <x v="2"/>
    <n v="6288"/>
    <n v="4284"/>
    <n v="2"/>
    <s v="Y"/>
    <x v="1"/>
    <n v="15"/>
    <n v="3"/>
    <n v="3"/>
    <n v="80"/>
    <n v="1"/>
    <n v="13"/>
    <n v="3"/>
    <n v="2"/>
    <n v="4"/>
    <n v="3"/>
    <n v="1"/>
    <n v="2"/>
  </r>
  <r>
    <x v="13"/>
    <x v="1"/>
    <x v="1"/>
    <n v="702"/>
    <x v="1"/>
    <n v="16"/>
    <n v="4"/>
    <x v="0"/>
    <x v="0"/>
    <x v="606"/>
    <n v="3"/>
    <x v="0"/>
    <n v="100"/>
    <n v="2"/>
    <n v="1"/>
    <x v="1"/>
    <n v="4"/>
    <x v="0"/>
    <n v="2553"/>
    <n v="8306"/>
    <n v="1"/>
    <s v="Y"/>
    <x v="1"/>
    <n v="16"/>
    <n v="3"/>
    <n v="3"/>
    <n v="80"/>
    <n v="0"/>
    <n v="6"/>
    <n v="3"/>
    <n v="3"/>
    <n v="5"/>
    <n v="2"/>
    <n v="1"/>
    <n v="3"/>
  </r>
  <r>
    <x v="1"/>
    <x v="0"/>
    <x v="0"/>
    <n v="1184"/>
    <x v="0"/>
    <n v="11"/>
    <n v="3"/>
    <x v="3"/>
    <x v="0"/>
    <x v="607"/>
    <n v="3"/>
    <x v="0"/>
    <n v="43"/>
    <n v="3"/>
    <n v="3"/>
    <x v="0"/>
    <n v="4"/>
    <x v="1"/>
    <n v="7654"/>
    <n v="5860"/>
    <n v="1"/>
    <s v="Y"/>
    <x v="1"/>
    <n v="18"/>
    <n v="3"/>
    <n v="1"/>
    <n v="80"/>
    <n v="2"/>
    <n v="9"/>
    <n v="3"/>
    <n v="4"/>
    <n v="9"/>
    <n v="8"/>
    <n v="7"/>
    <n v="7"/>
  </r>
  <r>
    <x v="27"/>
    <x v="0"/>
    <x v="0"/>
    <n v="436"/>
    <x v="0"/>
    <n v="2"/>
    <n v="1"/>
    <x v="2"/>
    <x v="0"/>
    <x v="608"/>
    <n v="3"/>
    <x v="1"/>
    <n v="37"/>
    <n v="3"/>
    <n v="2"/>
    <x v="0"/>
    <n v="4"/>
    <x v="0"/>
    <n v="5160"/>
    <n v="21519"/>
    <n v="4"/>
    <s v="Y"/>
    <x v="1"/>
    <n v="16"/>
    <n v="3"/>
    <n v="3"/>
    <n v="80"/>
    <n v="0"/>
    <n v="12"/>
    <n v="3"/>
    <n v="2"/>
    <n v="9"/>
    <n v="7"/>
    <n v="7"/>
    <n v="3"/>
  </r>
  <r>
    <x v="23"/>
    <x v="1"/>
    <x v="0"/>
    <n v="589"/>
    <x v="1"/>
    <n v="14"/>
    <n v="2"/>
    <x v="0"/>
    <x v="0"/>
    <x v="609"/>
    <n v="2"/>
    <x v="1"/>
    <n v="94"/>
    <n v="3"/>
    <n v="4"/>
    <x v="7"/>
    <n v="1"/>
    <x v="1"/>
    <n v="17159"/>
    <n v="5200"/>
    <n v="6"/>
    <s v="Y"/>
    <x v="1"/>
    <n v="24"/>
    <n v="4"/>
    <n v="3"/>
    <n v="80"/>
    <n v="1"/>
    <n v="22"/>
    <n v="3"/>
    <n v="3"/>
    <n v="4"/>
    <n v="1"/>
    <n v="1"/>
    <n v="0"/>
  </r>
  <r>
    <x v="4"/>
    <x v="1"/>
    <x v="0"/>
    <n v="269"/>
    <x v="1"/>
    <n v="5"/>
    <n v="1"/>
    <x v="4"/>
    <x v="0"/>
    <x v="610"/>
    <n v="3"/>
    <x v="1"/>
    <n v="42"/>
    <n v="2"/>
    <n v="3"/>
    <x v="7"/>
    <n v="4"/>
    <x v="2"/>
    <n v="12808"/>
    <n v="8842"/>
    <n v="1"/>
    <s v="Y"/>
    <x v="0"/>
    <n v="16"/>
    <n v="3"/>
    <n v="2"/>
    <n v="80"/>
    <n v="1"/>
    <n v="9"/>
    <n v="3"/>
    <n v="3"/>
    <n v="9"/>
    <n v="8"/>
    <n v="0"/>
    <n v="8"/>
  </r>
  <r>
    <x v="10"/>
    <x v="1"/>
    <x v="0"/>
    <n v="950"/>
    <x v="1"/>
    <n v="7"/>
    <n v="3"/>
    <x v="1"/>
    <x v="0"/>
    <x v="611"/>
    <n v="3"/>
    <x v="1"/>
    <n v="59"/>
    <n v="3"/>
    <n v="3"/>
    <x v="3"/>
    <n v="3"/>
    <x v="0"/>
    <n v="10221"/>
    <n v="18869"/>
    <n v="3"/>
    <s v="Y"/>
    <x v="1"/>
    <n v="21"/>
    <n v="4"/>
    <n v="2"/>
    <n v="80"/>
    <n v="0"/>
    <n v="17"/>
    <n v="3"/>
    <n v="4"/>
    <n v="8"/>
    <n v="5"/>
    <n v="1"/>
    <n v="6"/>
  </r>
  <r>
    <x v="14"/>
    <x v="1"/>
    <x v="0"/>
    <n v="760"/>
    <x v="0"/>
    <n v="2"/>
    <n v="4"/>
    <x v="3"/>
    <x v="0"/>
    <x v="612"/>
    <n v="2"/>
    <x v="0"/>
    <n v="81"/>
    <n v="3"/>
    <n v="2"/>
    <x v="0"/>
    <n v="2"/>
    <x v="1"/>
    <n v="4779"/>
    <n v="3698"/>
    <n v="1"/>
    <s v="Y"/>
    <x v="0"/>
    <n v="20"/>
    <n v="4"/>
    <n v="1"/>
    <n v="80"/>
    <n v="0"/>
    <n v="8"/>
    <n v="2"/>
    <n v="3"/>
    <n v="8"/>
    <n v="7"/>
    <n v="7"/>
    <n v="5"/>
  </r>
  <r>
    <x v="13"/>
    <x v="1"/>
    <x v="0"/>
    <n v="829"/>
    <x v="2"/>
    <n v="3"/>
    <n v="2"/>
    <x v="5"/>
    <x v="0"/>
    <x v="613"/>
    <n v="3"/>
    <x v="1"/>
    <n v="88"/>
    <n v="3"/>
    <n v="1"/>
    <x v="8"/>
    <n v="4"/>
    <x v="1"/>
    <n v="3737"/>
    <n v="2243"/>
    <n v="0"/>
    <s v="Y"/>
    <x v="1"/>
    <n v="19"/>
    <n v="3"/>
    <n v="3"/>
    <n v="80"/>
    <n v="1"/>
    <n v="4"/>
    <n v="1"/>
    <n v="1"/>
    <n v="3"/>
    <n v="2"/>
    <n v="0"/>
    <n v="2"/>
  </r>
  <r>
    <x v="25"/>
    <x v="0"/>
    <x v="1"/>
    <n v="887"/>
    <x v="1"/>
    <n v="5"/>
    <n v="2"/>
    <x v="2"/>
    <x v="0"/>
    <x v="614"/>
    <n v="3"/>
    <x v="0"/>
    <n v="88"/>
    <n v="2"/>
    <n v="1"/>
    <x v="1"/>
    <n v="3"/>
    <x v="1"/>
    <n v="2366"/>
    <n v="20898"/>
    <n v="1"/>
    <s v="Y"/>
    <x v="0"/>
    <n v="14"/>
    <n v="3"/>
    <n v="1"/>
    <n v="80"/>
    <n v="1"/>
    <n v="8"/>
    <n v="2"/>
    <n v="3"/>
    <n v="8"/>
    <n v="7"/>
    <n v="1"/>
    <n v="7"/>
  </r>
  <r>
    <x v="4"/>
    <x v="1"/>
    <x v="2"/>
    <n v="443"/>
    <x v="1"/>
    <n v="3"/>
    <n v="3"/>
    <x v="2"/>
    <x v="0"/>
    <x v="615"/>
    <n v="4"/>
    <x v="1"/>
    <n v="50"/>
    <n v="3"/>
    <n v="1"/>
    <x v="1"/>
    <n v="4"/>
    <x v="1"/>
    <n v="1706"/>
    <n v="16571"/>
    <n v="1"/>
    <s v="Y"/>
    <x v="1"/>
    <n v="11"/>
    <n v="3"/>
    <n v="3"/>
    <n v="80"/>
    <n v="3"/>
    <n v="0"/>
    <n v="6"/>
    <n v="2"/>
    <n v="0"/>
    <n v="0"/>
    <n v="0"/>
    <n v="0"/>
  </r>
  <r>
    <x v="31"/>
    <x v="1"/>
    <x v="0"/>
    <n v="1318"/>
    <x v="0"/>
    <n v="26"/>
    <n v="4"/>
    <x v="3"/>
    <x v="0"/>
    <x v="616"/>
    <n v="1"/>
    <x v="0"/>
    <n v="66"/>
    <n v="3"/>
    <n v="4"/>
    <x v="5"/>
    <n v="3"/>
    <x v="1"/>
    <n v="16307"/>
    <n v="5594"/>
    <n v="2"/>
    <s v="Y"/>
    <x v="1"/>
    <n v="14"/>
    <n v="3"/>
    <n v="3"/>
    <n v="80"/>
    <n v="1"/>
    <n v="29"/>
    <n v="2"/>
    <n v="2"/>
    <n v="20"/>
    <n v="6"/>
    <n v="4"/>
    <n v="17"/>
  </r>
  <r>
    <x v="20"/>
    <x v="1"/>
    <x v="0"/>
    <n v="625"/>
    <x v="1"/>
    <n v="4"/>
    <n v="3"/>
    <x v="2"/>
    <x v="0"/>
    <x v="617"/>
    <n v="4"/>
    <x v="1"/>
    <n v="50"/>
    <n v="3"/>
    <n v="2"/>
    <x v="4"/>
    <n v="2"/>
    <x v="0"/>
    <n v="5933"/>
    <n v="5197"/>
    <n v="9"/>
    <s v="Y"/>
    <x v="1"/>
    <n v="12"/>
    <n v="3"/>
    <n v="4"/>
    <n v="80"/>
    <n v="0"/>
    <n v="10"/>
    <n v="2"/>
    <n v="2"/>
    <n v="5"/>
    <n v="2"/>
    <n v="2"/>
    <n v="3"/>
  </r>
  <r>
    <x v="36"/>
    <x v="1"/>
    <x v="0"/>
    <n v="180"/>
    <x v="1"/>
    <n v="2"/>
    <n v="1"/>
    <x v="2"/>
    <x v="0"/>
    <x v="618"/>
    <n v="1"/>
    <x v="1"/>
    <n v="65"/>
    <n v="4"/>
    <n v="1"/>
    <x v="1"/>
    <n v="1"/>
    <x v="0"/>
    <n v="3424"/>
    <n v="21632"/>
    <n v="7"/>
    <s v="Y"/>
    <x v="1"/>
    <n v="13"/>
    <n v="3"/>
    <n v="3"/>
    <n v="80"/>
    <n v="0"/>
    <n v="6"/>
    <n v="3"/>
    <n v="2"/>
    <n v="4"/>
    <n v="3"/>
    <n v="0"/>
    <n v="1"/>
  </r>
  <r>
    <x v="3"/>
    <x v="1"/>
    <x v="0"/>
    <n v="586"/>
    <x v="0"/>
    <n v="1"/>
    <n v="3"/>
    <x v="2"/>
    <x v="0"/>
    <x v="619"/>
    <n v="1"/>
    <x v="1"/>
    <n v="48"/>
    <n v="4"/>
    <n v="2"/>
    <x v="0"/>
    <n v="1"/>
    <x v="2"/>
    <n v="4037"/>
    <n v="21816"/>
    <n v="1"/>
    <s v="Y"/>
    <x v="1"/>
    <n v="22"/>
    <n v="4"/>
    <n v="1"/>
    <n v="80"/>
    <n v="1"/>
    <n v="9"/>
    <n v="5"/>
    <n v="3"/>
    <n v="9"/>
    <n v="8"/>
    <n v="0"/>
    <n v="8"/>
  </r>
  <r>
    <x v="10"/>
    <x v="1"/>
    <x v="0"/>
    <n v="1343"/>
    <x v="1"/>
    <n v="27"/>
    <n v="1"/>
    <x v="2"/>
    <x v="0"/>
    <x v="620"/>
    <n v="3"/>
    <x v="0"/>
    <n v="53"/>
    <n v="2"/>
    <n v="1"/>
    <x v="1"/>
    <n v="1"/>
    <x v="0"/>
    <n v="2559"/>
    <n v="17852"/>
    <n v="1"/>
    <s v="Y"/>
    <x v="1"/>
    <n v="11"/>
    <n v="3"/>
    <n v="4"/>
    <n v="80"/>
    <n v="0"/>
    <n v="6"/>
    <n v="3"/>
    <n v="2"/>
    <n v="6"/>
    <n v="5"/>
    <n v="1"/>
    <n v="1"/>
  </r>
  <r>
    <x v="9"/>
    <x v="1"/>
    <x v="0"/>
    <n v="928"/>
    <x v="0"/>
    <n v="1"/>
    <n v="2"/>
    <x v="0"/>
    <x v="0"/>
    <x v="621"/>
    <n v="2"/>
    <x v="1"/>
    <n v="56"/>
    <n v="3"/>
    <n v="2"/>
    <x v="0"/>
    <n v="4"/>
    <x v="1"/>
    <n v="6201"/>
    <n v="2823"/>
    <n v="1"/>
    <s v="Y"/>
    <x v="0"/>
    <n v="14"/>
    <n v="3"/>
    <n v="4"/>
    <n v="80"/>
    <n v="1"/>
    <n v="18"/>
    <n v="1"/>
    <n v="2"/>
    <n v="18"/>
    <n v="14"/>
    <n v="4"/>
    <n v="11"/>
  </r>
  <r>
    <x v="5"/>
    <x v="1"/>
    <x v="0"/>
    <n v="117"/>
    <x v="0"/>
    <n v="13"/>
    <n v="4"/>
    <x v="0"/>
    <x v="0"/>
    <x v="622"/>
    <n v="2"/>
    <x v="1"/>
    <n v="73"/>
    <n v="3"/>
    <n v="2"/>
    <x v="0"/>
    <n v="4"/>
    <x v="2"/>
    <n v="4403"/>
    <n v="9250"/>
    <n v="2"/>
    <s v="Y"/>
    <x v="1"/>
    <n v="11"/>
    <n v="3"/>
    <n v="3"/>
    <n v="80"/>
    <n v="1"/>
    <n v="8"/>
    <n v="3"/>
    <n v="2"/>
    <n v="5"/>
    <n v="2"/>
    <n v="0"/>
    <n v="3"/>
  </r>
  <r>
    <x v="7"/>
    <x v="1"/>
    <x v="1"/>
    <n v="1012"/>
    <x v="1"/>
    <n v="5"/>
    <n v="4"/>
    <x v="0"/>
    <x v="0"/>
    <x v="623"/>
    <n v="2"/>
    <x v="1"/>
    <n v="75"/>
    <n v="2"/>
    <n v="1"/>
    <x v="1"/>
    <n v="4"/>
    <x v="2"/>
    <n v="3761"/>
    <n v="2373"/>
    <n v="9"/>
    <s v="Y"/>
    <x v="1"/>
    <n v="12"/>
    <n v="3"/>
    <n v="2"/>
    <n v="80"/>
    <n v="1"/>
    <n v="10"/>
    <n v="3"/>
    <n v="2"/>
    <n v="5"/>
    <n v="4"/>
    <n v="0"/>
    <n v="3"/>
  </r>
  <r>
    <x v="16"/>
    <x v="1"/>
    <x v="0"/>
    <n v="661"/>
    <x v="0"/>
    <n v="7"/>
    <n v="2"/>
    <x v="3"/>
    <x v="0"/>
    <x v="624"/>
    <n v="1"/>
    <x v="0"/>
    <n v="78"/>
    <n v="2"/>
    <n v="3"/>
    <x v="0"/>
    <n v="4"/>
    <x v="1"/>
    <n v="10934"/>
    <n v="20715"/>
    <n v="7"/>
    <s v="Y"/>
    <x v="0"/>
    <n v="18"/>
    <n v="3"/>
    <n v="4"/>
    <n v="80"/>
    <n v="1"/>
    <n v="35"/>
    <n v="3"/>
    <n v="3"/>
    <n v="5"/>
    <n v="2"/>
    <n v="0"/>
    <n v="4"/>
  </r>
  <r>
    <x v="28"/>
    <x v="1"/>
    <x v="0"/>
    <n v="930"/>
    <x v="0"/>
    <n v="9"/>
    <n v="3"/>
    <x v="3"/>
    <x v="0"/>
    <x v="625"/>
    <n v="4"/>
    <x v="1"/>
    <n v="74"/>
    <n v="3"/>
    <n v="3"/>
    <x v="0"/>
    <n v="1"/>
    <x v="2"/>
    <n v="10761"/>
    <n v="19239"/>
    <n v="4"/>
    <s v="Y"/>
    <x v="0"/>
    <n v="12"/>
    <n v="3"/>
    <n v="3"/>
    <n v="80"/>
    <n v="1"/>
    <n v="18"/>
    <n v="2"/>
    <n v="3"/>
    <n v="5"/>
    <n v="4"/>
    <n v="0"/>
    <n v="2"/>
  </r>
  <r>
    <x v="5"/>
    <x v="1"/>
    <x v="0"/>
    <n v="638"/>
    <x v="1"/>
    <n v="8"/>
    <n v="2"/>
    <x v="2"/>
    <x v="0"/>
    <x v="626"/>
    <n v="3"/>
    <x v="0"/>
    <n v="91"/>
    <n v="4"/>
    <n v="2"/>
    <x v="1"/>
    <n v="3"/>
    <x v="1"/>
    <n v="5175"/>
    <n v="22162"/>
    <n v="5"/>
    <s v="Y"/>
    <x v="1"/>
    <n v="12"/>
    <n v="3"/>
    <n v="3"/>
    <n v="80"/>
    <n v="1"/>
    <n v="9"/>
    <n v="3"/>
    <n v="2"/>
    <n v="5"/>
    <n v="3"/>
    <n v="1"/>
    <n v="3"/>
  </r>
  <r>
    <x v="39"/>
    <x v="1"/>
    <x v="1"/>
    <n v="890"/>
    <x v="1"/>
    <n v="25"/>
    <n v="4"/>
    <x v="2"/>
    <x v="0"/>
    <x v="627"/>
    <n v="3"/>
    <x v="0"/>
    <n v="81"/>
    <n v="2"/>
    <n v="4"/>
    <x v="3"/>
    <n v="4"/>
    <x v="1"/>
    <n v="13826"/>
    <n v="19028"/>
    <n v="3"/>
    <s v="Y"/>
    <x v="1"/>
    <n v="22"/>
    <n v="4"/>
    <n v="3"/>
    <n v="80"/>
    <n v="0"/>
    <n v="31"/>
    <n v="3"/>
    <n v="3"/>
    <n v="9"/>
    <n v="8"/>
    <n v="0"/>
    <n v="0"/>
  </r>
  <r>
    <x v="2"/>
    <x v="1"/>
    <x v="0"/>
    <n v="342"/>
    <x v="0"/>
    <n v="16"/>
    <n v="4"/>
    <x v="3"/>
    <x v="0"/>
    <x v="628"/>
    <n v="4"/>
    <x v="1"/>
    <n v="66"/>
    <n v="2"/>
    <n v="2"/>
    <x v="0"/>
    <n v="3"/>
    <x v="2"/>
    <n v="6334"/>
    <n v="24558"/>
    <n v="4"/>
    <s v="Y"/>
    <x v="1"/>
    <n v="19"/>
    <n v="3"/>
    <n v="4"/>
    <n v="80"/>
    <n v="2"/>
    <n v="9"/>
    <n v="2"/>
    <n v="3"/>
    <n v="1"/>
    <n v="0"/>
    <n v="0"/>
    <n v="0"/>
  </r>
  <r>
    <x v="14"/>
    <x v="1"/>
    <x v="0"/>
    <n v="1169"/>
    <x v="2"/>
    <n v="8"/>
    <n v="2"/>
    <x v="2"/>
    <x v="0"/>
    <x v="629"/>
    <n v="2"/>
    <x v="1"/>
    <n v="63"/>
    <n v="2"/>
    <n v="1"/>
    <x v="8"/>
    <n v="4"/>
    <x v="2"/>
    <n v="4936"/>
    <n v="23965"/>
    <n v="1"/>
    <s v="Y"/>
    <x v="1"/>
    <n v="13"/>
    <n v="3"/>
    <n v="4"/>
    <n v="80"/>
    <n v="1"/>
    <n v="6"/>
    <n v="6"/>
    <n v="3"/>
    <n v="5"/>
    <n v="1"/>
    <n v="0"/>
    <n v="4"/>
  </r>
  <r>
    <x v="15"/>
    <x v="1"/>
    <x v="0"/>
    <n v="1230"/>
    <x v="1"/>
    <n v="1"/>
    <n v="2"/>
    <x v="0"/>
    <x v="0"/>
    <x v="630"/>
    <n v="4"/>
    <x v="1"/>
    <n v="33"/>
    <n v="2"/>
    <n v="2"/>
    <x v="3"/>
    <n v="4"/>
    <x v="1"/>
    <n v="4775"/>
    <n v="19146"/>
    <n v="6"/>
    <s v="Y"/>
    <x v="1"/>
    <n v="22"/>
    <n v="4"/>
    <n v="1"/>
    <n v="80"/>
    <n v="2"/>
    <n v="4"/>
    <n v="2"/>
    <n v="1"/>
    <n v="2"/>
    <n v="2"/>
    <n v="2"/>
    <n v="2"/>
  </r>
  <r>
    <x v="20"/>
    <x v="1"/>
    <x v="0"/>
    <n v="986"/>
    <x v="1"/>
    <n v="8"/>
    <n v="4"/>
    <x v="0"/>
    <x v="0"/>
    <x v="631"/>
    <n v="1"/>
    <x v="1"/>
    <n v="62"/>
    <n v="4"/>
    <n v="1"/>
    <x v="2"/>
    <n v="4"/>
    <x v="1"/>
    <n v="2818"/>
    <n v="5044"/>
    <n v="2"/>
    <s v="Y"/>
    <x v="0"/>
    <n v="24"/>
    <n v="4"/>
    <n v="3"/>
    <n v="80"/>
    <n v="1"/>
    <n v="10"/>
    <n v="2"/>
    <n v="2"/>
    <n v="3"/>
    <n v="2"/>
    <n v="0"/>
    <n v="2"/>
  </r>
  <r>
    <x v="19"/>
    <x v="1"/>
    <x v="1"/>
    <n v="1271"/>
    <x v="1"/>
    <n v="2"/>
    <n v="1"/>
    <x v="2"/>
    <x v="0"/>
    <x v="632"/>
    <n v="2"/>
    <x v="1"/>
    <n v="35"/>
    <n v="3"/>
    <n v="1"/>
    <x v="1"/>
    <n v="4"/>
    <x v="0"/>
    <n v="2515"/>
    <n v="9068"/>
    <n v="5"/>
    <s v="Y"/>
    <x v="0"/>
    <n v="14"/>
    <n v="3"/>
    <n v="4"/>
    <n v="80"/>
    <n v="0"/>
    <n v="8"/>
    <n v="2"/>
    <n v="3"/>
    <n v="2"/>
    <n v="1"/>
    <n v="2"/>
    <n v="2"/>
  </r>
  <r>
    <x v="9"/>
    <x v="1"/>
    <x v="0"/>
    <n v="1278"/>
    <x v="2"/>
    <n v="8"/>
    <n v="3"/>
    <x v="0"/>
    <x v="0"/>
    <x v="633"/>
    <n v="1"/>
    <x v="1"/>
    <n v="77"/>
    <n v="2"/>
    <n v="1"/>
    <x v="8"/>
    <n v="1"/>
    <x v="1"/>
    <n v="2342"/>
    <n v="8635"/>
    <n v="0"/>
    <s v="Y"/>
    <x v="1"/>
    <n v="21"/>
    <n v="4"/>
    <n v="3"/>
    <n v="80"/>
    <n v="0"/>
    <n v="6"/>
    <n v="3"/>
    <n v="3"/>
    <n v="5"/>
    <n v="4"/>
    <n v="0"/>
    <n v="3"/>
  </r>
  <r>
    <x v="36"/>
    <x v="1"/>
    <x v="0"/>
    <n v="141"/>
    <x v="0"/>
    <n v="3"/>
    <n v="1"/>
    <x v="1"/>
    <x v="0"/>
    <x v="634"/>
    <n v="3"/>
    <x v="1"/>
    <n v="98"/>
    <n v="3"/>
    <n v="2"/>
    <x v="0"/>
    <n v="1"/>
    <x v="1"/>
    <n v="4194"/>
    <n v="14363"/>
    <n v="1"/>
    <s v="Y"/>
    <x v="0"/>
    <n v="18"/>
    <n v="3"/>
    <n v="4"/>
    <n v="80"/>
    <n v="0"/>
    <n v="5"/>
    <n v="3"/>
    <n v="3"/>
    <n v="5"/>
    <n v="3"/>
    <n v="0"/>
    <n v="3"/>
  </r>
  <r>
    <x v="10"/>
    <x v="1"/>
    <x v="0"/>
    <n v="607"/>
    <x v="1"/>
    <n v="9"/>
    <n v="3"/>
    <x v="0"/>
    <x v="0"/>
    <x v="635"/>
    <n v="4"/>
    <x v="0"/>
    <n v="66"/>
    <n v="2"/>
    <n v="3"/>
    <x v="3"/>
    <n v="3"/>
    <x v="1"/>
    <n v="10685"/>
    <n v="23457"/>
    <n v="1"/>
    <s v="Y"/>
    <x v="0"/>
    <n v="20"/>
    <n v="4"/>
    <n v="2"/>
    <n v="80"/>
    <n v="1"/>
    <n v="17"/>
    <n v="2"/>
    <n v="3"/>
    <n v="17"/>
    <n v="14"/>
    <n v="5"/>
    <n v="15"/>
  </r>
  <r>
    <x v="10"/>
    <x v="0"/>
    <x v="1"/>
    <n v="130"/>
    <x v="1"/>
    <n v="25"/>
    <n v="4"/>
    <x v="0"/>
    <x v="0"/>
    <x v="636"/>
    <n v="4"/>
    <x v="0"/>
    <n v="96"/>
    <n v="3"/>
    <n v="1"/>
    <x v="1"/>
    <n v="2"/>
    <x v="2"/>
    <n v="2022"/>
    <n v="16612"/>
    <n v="1"/>
    <s v="Y"/>
    <x v="0"/>
    <n v="19"/>
    <n v="3"/>
    <n v="1"/>
    <n v="80"/>
    <n v="1"/>
    <n v="10"/>
    <n v="3"/>
    <n v="2"/>
    <n v="10"/>
    <n v="2"/>
    <n v="7"/>
    <n v="8"/>
  </r>
  <r>
    <x v="5"/>
    <x v="1"/>
    <x v="2"/>
    <n v="300"/>
    <x v="1"/>
    <n v="1"/>
    <n v="3"/>
    <x v="0"/>
    <x v="0"/>
    <x v="637"/>
    <n v="4"/>
    <x v="1"/>
    <n v="61"/>
    <n v="3"/>
    <n v="1"/>
    <x v="2"/>
    <n v="4"/>
    <x v="2"/>
    <n v="2314"/>
    <n v="9148"/>
    <n v="0"/>
    <s v="Y"/>
    <x v="1"/>
    <n v="12"/>
    <n v="3"/>
    <n v="2"/>
    <n v="80"/>
    <n v="1"/>
    <n v="4"/>
    <n v="2"/>
    <n v="3"/>
    <n v="3"/>
    <n v="0"/>
    <n v="0"/>
    <n v="2"/>
  </r>
  <r>
    <x v="36"/>
    <x v="1"/>
    <x v="0"/>
    <n v="583"/>
    <x v="0"/>
    <n v="4"/>
    <n v="1"/>
    <x v="3"/>
    <x v="0"/>
    <x v="638"/>
    <n v="3"/>
    <x v="1"/>
    <n v="87"/>
    <n v="2"/>
    <n v="2"/>
    <x v="0"/>
    <n v="1"/>
    <x v="1"/>
    <n v="4256"/>
    <n v="18154"/>
    <n v="1"/>
    <s v="Y"/>
    <x v="1"/>
    <n v="12"/>
    <n v="3"/>
    <n v="1"/>
    <n v="80"/>
    <n v="0"/>
    <n v="5"/>
    <n v="1"/>
    <n v="4"/>
    <n v="5"/>
    <n v="2"/>
    <n v="0"/>
    <n v="3"/>
  </r>
  <r>
    <x v="1"/>
    <x v="1"/>
    <x v="0"/>
    <n v="1418"/>
    <x v="1"/>
    <n v="1"/>
    <n v="3"/>
    <x v="4"/>
    <x v="0"/>
    <x v="639"/>
    <n v="3"/>
    <x v="0"/>
    <n v="36"/>
    <n v="3"/>
    <n v="1"/>
    <x v="1"/>
    <n v="1"/>
    <x v="1"/>
    <n v="3580"/>
    <n v="10554"/>
    <n v="2"/>
    <s v="Y"/>
    <x v="1"/>
    <n v="16"/>
    <n v="3"/>
    <n v="2"/>
    <n v="80"/>
    <n v="1"/>
    <n v="7"/>
    <n v="2"/>
    <n v="3"/>
    <n v="4"/>
    <n v="2"/>
    <n v="0"/>
    <n v="2"/>
  </r>
  <r>
    <x v="17"/>
    <x v="1"/>
    <x v="2"/>
    <n v="1269"/>
    <x v="1"/>
    <n v="4"/>
    <n v="1"/>
    <x v="0"/>
    <x v="0"/>
    <x v="640"/>
    <n v="1"/>
    <x v="1"/>
    <n v="46"/>
    <n v="2"/>
    <n v="1"/>
    <x v="2"/>
    <n v="4"/>
    <x v="1"/>
    <n v="3162"/>
    <n v="10778"/>
    <n v="0"/>
    <s v="Y"/>
    <x v="1"/>
    <n v="17"/>
    <n v="3"/>
    <n v="4"/>
    <n v="80"/>
    <n v="0"/>
    <n v="6"/>
    <n v="2"/>
    <n v="2"/>
    <n v="5"/>
    <n v="2"/>
    <n v="3"/>
    <n v="4"/>
  </r>
  <r>
    <x v="5"/>
    <x v="1"/>
    <x v="1"/>
    <n v="379"/>
    <x v="0"/>
    <n v="5"/>
    <n v="2"/>
    <x v="0"/>
    <x v="0"/>
    <x v="641"/>
    <n v="2"/>
    <x v="1"/>
    <n v="48"/>
    <n v="3"/>
    <n v="2"/>
    <x v="0"/>
    <n v="2"/>
    <x v="1"/>
    <n v="6524"/>
    <n v="8891"/>
    <n v="1"/>
    <s v="Y"/>
    <x v="1"/>
    <n v="14"/>
    <n v="3"/>
    <n v="4"/>
    <n v="80"/>
    <n v="1"/>
    <n v="10"/>
    <n v="3"/>
    <n v="3"/>
    <n v="10"/>
    <n v="8"/>
    <n v="5"/>
    <n v="3"/>
  </r>
  <r>
    <x v="8"/>
    <x v="1"/>
    <x v="0"/>
    <n v="395"/>
    <x v="0"/>
    <n v="9"/>
    <n v="3"/>
    <x v="3"/>
    <x v="0"/>
    <x v="642"/>
    <n v="2"/>
    <x v="1"/>
    <n v="98"/>
    <n v="2"/>
    <n v="1"/>
    <x v="6"/>
    <n v="2"/>
    <x v="1"/>
    <n v="2899"/>
    <n v="12102"/>
    <n v="0"/>
    <s v="Y"/>
    <x v="1"/>
    <n v="19"/>
    <n v="3"/>
    <n v="4"/>
    <n v="80"/>
    <n v="1"/>
    <n v="3"/>
    <n v="3"/>
    <n v="3"/>
    <n v="2"/>
    <n v="2"/>
    <n v="1"/>
    <n v="2"/>
  </r>
  <r>
    <x v="19"/>
    <x v="1"/>
    <x v="0"/>
    <n v="1265"/>
    <x v="1"/>
    <n v="3"/>
    <n v="3"/>
    <x v="0"/>
    <x v="0"/>
    <x v="643"/>
    <n v="3"/>
    <x v="0"/>
    <n v="95"/>
    <n v="4"/>
    <n v="2"/>
    <x v="2"/>
    <n v="4"/>
    <x v="1"/>
    <n v="5231"/>
    <n v="23726"/>
    <n v="2"/>
    <s v="Y"/>
    <x v="0"/>
    <n v="13"/>
    <n v="3"/>
    <n v="2"/>
    <n v="80"/>
    <n v="1"/>
    <n v="17"/>
    <n v="1"/>
    <n v="2"/>
    <n v="5"/>
    <n v="3"/>
    <n v="1"/>
    <n v="3"/>
  </r>
  <r>
    <x v="12"/>
    <x v="1"/>
    <x v="0"/>
    <n v="1222"/>
    <x v="1"/>
    <n v="11"/>
    <n v="4"/>
    <x v="0"/>
    <x v="0"/>
    <x v="644"/>
    <n v="4"/>
    <x v="1"/>
    <n v="48"/>
    <n v="3"/>
    <n v="1"/>
    <x v="1"/>
    <n v="4"/>
    <x v="1"/>
    <n v="2356"/>
    <n v="14871"/>
    <n v="3"/>
    <s v="Y"/>
    <x v="0"/>
    <n v="19"/>
    <n v="3"/>
    <n v="2"/>
    <n v="80"/>
    <n v="1"/>
    <n v="8"/>
    <n v="2"/>
    <n v="3"/>
    <n v="6"/>
    <n v="4"/>
    <n v="0"/>
    <n v="2"/>
  </r>
  <r>
    <x v="11"/>
    <x v="0"/>
    <x v="0"/>
    <n v="341"/>
    <x v="0"/>
    <n v="1"/>
    <n v="3"/>
    <x v="2"/>
    <x v="0"/>
    <x v="645"/>
    <n v="2"/>
    <x v="0"/>
    <n v="48"/>
    <n v="2"/>
    <n v="1"/>
    <x v="6"/>
    <n v="3"/>
    <x v="2"/>
    <n v="2800"/>
    <n v="23522"/>
    <n v="6"/>
    <s v="Y"/>
    <x v="0"/>
    <n v="19"/>
    <n v="3"/>
    <n v="3"/>
    <n v="80"/>
    <n v="3"/>
    <n v="5"/>
    <n v="3"/>
    <n v="3"/>
    <n v="3"/>
    <n v="2"/>
    <n v="0"/>
    <n v="2"/>
  </r>
  <r>
    <x v="16"/>
    <x v="1"/>
    <x v="0"/>
    <n v="868"/>
    <x v="0"/>
    <n v="8"/>
    <n v="3"/>
    <x v="3"/>
    <x v="0"/>
    <x v="646"/>
    <n v="1"/>
    <x v="1"/>
    <n v="73"/>
    <n v="3"/>
    <n v="4"/>
    <x v="0"/>
    <n v="4"/>
    <x v="1"/>
    <n v="11836"/>
    <n v="22789"/>
    <n v="5"/>
    <s v="Y"/>
    <x v="1"/>
    <n v="14"/>
    <n v="3"/>
    <n v="3"/>
    <n v="80"/>
    <n v="1"/>
    <n v="28"/>
    <n v="3"/>
    <n v="3"/>
    <n v="2"/>
    <n v="0"/>
    <n v="2"/>
    <n v="2"/>
  </r>
  <r>
    <x v="10"/>
    <x v="1"/>
    <x v="0"/>
    <n v="672"/>
    <x v="1"/>
    <n v="25"/>
    <n v="3"/>
    <x v="4"/>
    <x v="0"/>
    <x v="647"/>
    <n v="4"/>
    <x v="1"/>
    <n v="78"/>
    <n v="2"/>
    <n v="3"/>
    <x v="3"/>
    <n v="2"/>
    <x v="1"/>
    <n v="10903"/>
    <n v="9129"/>
    <n v="3"/>
    <s v="Y"/>
    <x v="1"/>
    <n v="16"/>
    <n v="3"/>
    <n v="1"/>
    <n v="80"/>
    <n v="0"/>
    <n v="16"/>
    <n v="2"/>
    <n v="3"/>
    <n v="13"/>
    <n v="10"/>
    <n v="4"/>
    <n v="8"/>
  </r>
  <r>
    <x v="2"/>
    <x v="1"/>
    <x v="1"/>
    <n v="1231"/>
    <x v="0"/>
    <n v="21"/>
    <n v="2"/>
    <x v="2"/>
    <x v="0"/>
    <x v="648"/>
    <n v="3"/>
    <x v="0"/>
    <n v="54"/>
    <n v="3"/>
    <n v="1"/>
    <x v="6"/>
    <n v="4"/>
    <x v="1"/>
    <n v="2973"/>
    <n v="21222"/>
    <n v="5"/>
    <s v="Y"/>
    <x v="1"/>
    <n v="15"/>
    <n v="3"/>
    <n v="2"/>
    <n v="80"/>
    <n v="1"/>
    <n v="10"/>
    <n v="3"/>
    <n v="3"/>
    <n v="5"/>
    <n v="4"/>
    <n v="0"/>
    <n v="0"/>
  </r>
  <r>
    <x v="16"/>
    <x v="1"/>
    <x v="0"/>
    <n v="102"/>
    <x v="1"/>
    <n v="23"/>
    <n v="4"/>
    <x v="0"/>
    <x v="0"/>
    <x v="649"/>
    <n v="4"/>
    <x v="0"/>
    <n v="72"/>
    <n v="3"/>
    <n v="4"/>
    <x v="7"/>
    <n v="4"/>
    <x v="0"/>
    <n v="14275"/>
    <n v="20206"/>
    <n v="6"/>
    <s v="Y"/>
    <x v="1"/>
    <n v="18"/>
    <n v="3"/>
    <n v="3"/>
    <n v="80"/>
    <n v="0"/>
    <n v="33"/>
    <n v="0"/>
    <n v="3"/>
    <n v="12"/>
    <n v="9"/>
    <n v="3"/>
    <n v="8"/>
  </r>
  <r>
    <x v="23"/>
    <x v="1"/>
    <x v="1"/>
    <n v="422"/>
    <x v="1"/>
    <n v="1"/>
    <n v="3"/>
    <x v="0"/>
    <x v="0"/>
    <x v="650"/>
    <n v="4"/>
    <x v="0"/>
    <n v="33"/>
    <n v="3"/>
    <n v="2"/>
    <x v="4"/>
    <n v="4"/>
    <x v="1"/>
    <n v="5562"/>
    <n v="21782"/>
    <n v="4"/>
    <s v="Y"/>
    <x v="1"/>
    <n v="13"/>
    <n v="3"/>
    <n v="2"/>
    <n v="80"/>
    <n v="1"/>
    <n v="12"/>
    <n v="2"/>
    <n v="2"/>
    <n v="5"/>
    <n v="2"/>
    <n v="2"/>
    <n v="2"/>
  </r>
  <r>
    <x v="40"/>
    <x v="1"/>
    <x v="0"/>
    <n v="249"/>
    <x v="0"/>
    <n v="2"/>
    <n v="2"/>
    <x v="3"/>
    <x v="0"/>
    <x v="651"/>
    <n v="3"/>
    <x v="0"/>
    <n v="35"/>
    <n v="3"/>
    <n v="2"/>
    <x v="0"/>
    <n v="4"/>
    <x v="1"/>
    <n v="4537"/>
    <n v="17783"/>
    <n v="0"/>
    <s v="Y"/>
    <x v="0"/>
    <n v="22"/>
    <n v="4"/>
    <n v="1"/>
    <n v="80"/>
    <n v="1"/>
    <n v="8"/>
    <n v="2"/>
    <n v="3"/>
    <n v="7"/>
    <n v="6"/>
    <n v="7"/>
    <n v="7"/>
  </r>
  <r>
    <x v="2"/>
    <x v="1"/>
    <x v="2"/>
    <n v="1252"/>
    <x v="0"/>
    <n v="19"/>
    <n v="2"/>
    <x v="2"/>
    <x v="0"/>
    <x v="652"/>
    <n v="1"/>
    <x v="1"/>
    <n v="32"/>
    <n v="3"/>
    <n v="3"/>
    <x v="0"/>
    <n v="2"/>
    <x v="0"/>
    <n v="7642"/>
    <n v="4814"/>
    <n v="1"/>
    <s v="Y"/>
    <x v="0"/>
    <n v="13"/>
    <n v="3"/>
    <n v="4"/>
    <n v="80"/>
    <n v="0"/>
    <n v="10"/>
    <n v="2"/>
    <n v="3"/>
    <n v="10"/>
    <n v="0"/>
    <n v="0"/>
    <n v="9"/>
  </r>
  <r>
    <x v="24"/>
    <x v="1"/>
    <x v="2"/>
    <n v="881"/>
    <x v="1"/>
    <n v="2"/>
    <n v="4"/>
    <x v="0"/>
    <x v="0"/>
    <x v="653"/>
    <n v="1"/>
    <x v="1"/>
    <n v="98"/>
    <n v="3"/>
    <n v="4"/>
    <x v="5"/>
    <n v="1"/>
    <x v="2"/>
    <n v="17924"/>
    <n v="4544"/>
    <n v="1"/>
    <s v="Y"/>
    <x v="1"/>
    <n v="11"/>
    <n v="3"/>
    <n v="4"/>
    <n v="80"/>
    <n v="1"/>
    <n v="31"/>
    <n v="3"/>
    <n v="3"/>
    <n v="31"/>
    <n v="6"/>
    <n v="14"/>
    <n v="7"/>
  </r>
  <r>
    <x v="22"/>
    <x v="1"/>
    <x v="0"/>
    <n v="1383"/>
    <x v="2"/>
    <n v="2"/>
    <n v="3"/>
    <x v="0"/>
    <x v="0"/>
    <x v="654"/>
    <n v="4"/>
    <x v="0"/>
    <n v="42"/>
    <n v="2"/>
    <n v="2"/>
    <x v="8"/>
    <n v="4"/>
    <x v="1"/>
    <n v="5204"/>
    <n v="7790"/>
    <n v="8"/>
    <s v="Y"/>
    <x v="1"/>
    <n v="11"/>
    <n v="3"/>
    <n v="3"/>
    <n v="80"/>
    <n v="2"/>
    <n v="13"/>
    <n v="2"/>
    <n v="3"/>
    <n v="5"/>
    <n v="4"/>
    <n v="0"/>
    <n v="4"/>
  </r>
  <r>
    <x v="3"/>
    <x v="1"/>
    <x v="0"/>
    <n v="1075"/>
    <x v="2"/>
    <n v="3"/>
    <n v="2"/>
    <x v="5"/>
    <x v="0"/>
    <x v="655"/>
    <n v="4"/>
    <x v="1"/>
    <n v="57"/>
    <n v="3"/>
    <n v="1"/>
    <x v="8"/>
    <n v="2"/>
    <x v="2"/>
    <n v="2277"/>
    <n v="22650"/>
    <n v="3"/>
    <s v="Y"/>
    <x v="0"/>
    <n v="11"/>
    <n v="3"/>
    <n v="3"/>
    <n v="80"/>
    <n v="1"/>
    <n v="7"/>
    <n v="4"/>
    <n v="4"/>
    <n v="4"/>
    <n v="3"/>
    <n v="0"/>
    <n v="3"/>
  </r>
  <r>
    <x v="5"/>
    <x v="0"/>
    <x v="0"/>
    <n v="374"/>
    <x v="1"/>
    <n v="25"/>
    <n v="4"/>
    <x v="0"/>
    <x v="0"/>
    <x v="656"/>
    <n v="1"/>
    <x v="1"/>
    <n v="87"/>
    <n v="3"/>
    <n v="1"/>
    <x v="2"/>
    <n v="4"/>
    <x v="0"/>
    <n v="2795"/>
    <n v="18016"/>
    <n v="1"/>
    <s v="Y"/>
    <x v="0"/>
    <n v="24"/>
    <n v="4"/>
    <n v="3"/>
    <n v="80"/>
    <n v="0"/>
    <n v="1"/>
    <n v="2"/>
    <n v="1"/>
    <n v="1"/>
    <n v="0"/>
    <n v="0"/>
    <n v="1"/>
  </r>
  <r>
    <x v="11"/>
    <x v="1"/>
    <x v="0"/>
    <n v="1086"/>
    <x v="1"/>
    <n v="7"/>
    <n v="1"/>
    <x v="2"/>
    <x v="0"/>
    <x v="657"/>
    <n v="1"/>
    <x v="0"/>
    <n v="62"/>
    <n v="2"/>
    <n v="1"/>
    <x v="2"/>
    <n v="4"/>
    <x v="2"/>
    <n v="2532"/>
    <n v="6054"/>
    <n v="6"/>
    <s v="Y"/>
    <x v="1"/>
    <n v="14"/>
    <n v="3"/>
    <n v="3"/>
    <n v="80"/>
    <n v="3"/>
    <n v="8"/>
    <n v="5"/>
    <n v="3"/>
    <n v="4"/>
    <n v="3"/>
    <n v="0"/>
    <n v="3"/>
  </r>
  <r>
    <x v="20"/>
    <x v="1"/>
    <x v="0"/>
    <n v="661"/>
    <x v="1"/>
    <n v="9"/>
    <n v="2"/>
    <x v="0"/>
    <x v="0"/>
    <x v="658"/>
    <n v="2"/>
    <x v="1"/>
    <n v="61"/>
    <n v="3"/>
    <n v="1"/>
    <x v="1"/>
    <n v="1"/>
    <x v="1"/>
    <n v="2559"/>
    <n v="7508"/>
    <n v="1"/>
    <s v="Y"/>
    <x v="0"/>
    <n v="13"/>
    <n v="3"/>
    <n v="4"/>
    <n v="80"/>
    <n v="0"/>
    <n v="8"/>
    <n v="0"/>
    <n v="3"/>
    <n v="8"/>
    <n v="7"/>
    <n v="7"/>
    <n v="1"/>
  </r>
  <r>
    <x v="14"/>
    <x v="1"/>
    <x v="0"/>
    <n v="821"/>
    <x v="0"/>
    <n v="5"/>
    <n v="4"/>
    <x v="2"/>
    <x v="0"/>
    <x v="659"/>
    <n v="1"/>
    <x v="1"/>
    <n v="98"/>
    <n v="3"/>
    <n v="2"/>
    <x v="0"/>
    <n v="4"/>
    <x v="0"/>
    <n v="4908"/>
    <n v="24252"/>
    <n v="1"/>
    <s v="Y"/>
    <x v="1"/>
    <n v="14"/>
    <n v="3"/>
    <n v="2"/>
    <n v="80"/>
    <n v="0"/>
    <n v="4"/>
    <n v="3"/>
    <n v="3"/>
    <n v="4"/>
    <n v="2"/>
    <n v="0"/>
    <n v="2"/>
  </r>
  <r>
    <x v="34"/>
    <x v="0"/>
    <x v="1"/>
    <n v="781"/>
    <x v="1"/>
    <n v="2"/>
    <n v="1"/>
    <x v="0"/>
    <x v="0"/>
    <x v="660"/>
    <n v="4"/>
    <x v="1"/>
    <n v="57"/>
    <n v="2"/>
    <n v="1"/>
    <x v="2"/>
    <n v="4"/>
    <x v="2"/>
    <n v="2380"/>
    <n v="13384"/>
    <n v="9"/>
    <s v="Y"/>
    <x v="0"/>
    <n v="14"/>
    <n v="3"/>
    <n v="4"/>
    <n v="80"/>
    <n v="1"/>
    <n v="3"/>
    <n v="3"/>
    <n v="2"/>
    <n v="1"/>
    <n v="0"/>
    <n v="0"/>
    <n v="0"/>
  </r>
  <r>
    <x v="23"/>
    <x v="1"/>
    <x v="0"/>
    <n v="177"/>
    <x v="1"/>
    <n v="8"/>
    <n v="3"/>
    <x v="0"/>
    <x v="0"/>
    <x v="661"/>
    <n v="1"/>
    <x v="0"/>
    <n v="55"/>
    <n v="3"/>
    <n v="2"/>
    <x v="3"/>
    <n v="2"/>
    <x v="2"/>
    <n v="4765"/>
    <n v="23814"/>
    <n v="4"/>
    <s v="Y"/>
    <x v="1"/>
    <n v="21"/>
    <n v="4"/>
    <n v="3"/>
    <n v="80"/>
    <n v="1"/>
    <n v="4"/>
    <n v="2"/>
    <n v="4"/>
    <n v="1"/>
    <n v="0"/>
    <n v="0"/>
    <n v="0"/>
  </r>
  <r>
    <x v="35"/>
    <x v="0"/>
    <x v="0"/>
    <n v="500"/>
    <x v="0"/>
    <n v="2"/>
    <n v="3"/>
    <x v="2"/>
    <x v="0"/>
    <x v="662"/>
    <n v="3"/>
    <x v="0"/>
    <n v="49"/>
    <n v="2"/>
    <n v="1"/>
    <x v="6"/>
    <n v="3"/>
    <x v="0"/>
    <n v="2044"/>
    <n v="22052"/>
    <n v="1"/>
    <s v="Y"/>
    <x v="1"/>
    <n v="13"/>
    <n v="3"/>
    <n v="4"/>
    <n v="80"/>
    <n v="0"/>
    <n v="2"/>
    <n v="3"/>
    <n v="2"/>
    <n v="2"/>
    <n v="2"/>
    <n v="0"/>
    <n v="2"/>
  </r>
  <r>
    <x v="18"/>
    <x v="0"/>
    <x v="0"/>
    <n v="1427"/>
    <x v="1"/>
    <n v="18"/>
    <n v="1"/>
    <x v="1"/>
    <x v="0"/>
    <x v="663"/>
    <n v="4"/>
    <x v="0"/>
    <n v="65"/>
    <n v="3"/>
    <n v="1"/>
    <x v="1"/>
    <n v="4"/>
    <x v="0"/>
    <n v="2693"/>
    <n v="8870"/>
    <n v="1"/>
    <s v="Y"/>
    <x v="1"/>
    <n v="19"/>
    <n v="3"/>
    <n v="1"/>
    <n v="80"/>
    <n v="0"/>
    <n v="1"/>
    <n v="3"/>
    <n v="2"/>
    <n v="1"/>
    <n v="0"/>
    <n v="0"/>
    <n v="0"/>
  </r>
  <r>
    <x v="9"/>
    <x v="1"/>
    <x v="0"/>
    <n v="1425"/>
    <x v="1"/>
    <n v="14"/>
    <n v="1"/>
    <x v="0"/>
    <x v="0"/>
    <x v="664"/>
    <n v="3"/>
    <x v="1"/>
    <n v="68"/>
    <n v="3"/>
    <n v="2"/>
    <x v="4"/>
    <n v="4"/>
    <x v="1"/>
    <n v="6586"/>
    <n v="4821"/>
    <n v="0"/>
    <s v="Y"/>
    <x v="0"/>
    <n v="17"/>
    <n v="3"/>
    <n v="1"/>
    <n v="80"/>
    <n v="1"/>
    <n v="17"/>
    <n v="2"/>
    <n v="2"/>
    <n v="16"/>
    <n v="8"/>
    <n v="4"/>
    <n v="11"/>
  </r>
  <r>
    <x v="40"/>
    <x v="1"/>
    <x v="0"/>
    <n v="1454"/>
    <x v="0"/>
    <n v="2"/>
    <n v="4"/>
    <x v="0"/>
    <x v="0"/>
    <x v="665"/>
    <n v="4"/>
    <x v="0"/>
    <n v="65"/>
    <n v="2"/>
    <n v="1"/>
    <x v="6"/>
    <n v="4"/>
    <x v="0"/>
    <n v="3294"/>
    <n v="13137"/>
    <n v="1"/>
    <s v="Y"/>
    <x v="0"/>
    <n v="18"/>
    <n v="3"/>
    <n v="1"/>
    <n v="80"/>
    <n v="0"/>
    <n v="3"/>
    <n v="3"/>
    <n v="2"/>
    <n v="3"/>
    <n v="2"/>
    <n v="1"/>
    <n v="2"/>
  </r>
  <r>
    <x v="15"/>
    <x v="0"/>
    <x v="0"/>
    <n v="617"/>
    <x v="1"/>
    <n v="3"/>
    <n v="1"/>
    <x v="0"/>
    <x v="0"/>
    <x v="666"/>
    <n v="2"/>
    <x v="0"/>
    <n v="34"/>
    <n v="3"/>
    <n v="2"/>
    <x v="3"/>
    <n v="3"/>
    <x v="1"/>
    <n v="4171"/>
    <n v="10022"/>
    <n v="0"/>
    <s v="Y"/>
    <x v="0"/>
    <n v="19"/>
    <n v="3"/>
    <n v="1"/>
    <n v="80"/>
    <n v="1"/>
    <n v="4"/>
    <n v="3"/>
    <n v="4"/>
    <n v="3"/>
    <n v="2"/>
    <n v="0"/>
    <n v="2"/>
  </r>
  <r>
    <x v="0"/>
    <x v="0"/>
    <x v="0"/>
    <n v="1085"/>
    <x v="1"/>
    <n v="2"/>
    <n v="4"/>
    <x v="0"/>
    <x v="0"/>
    <x v="667"/>
    <n v="2"/>
    <x v="0"/>
    <n v="57"/>
    <n v="1"/>
    <n v="1"/>
    <x v="2"/>
    <n v="4"/>
    <x v="2"/>
    <n v="2778"/>
    <n v="17725"/>
    <n v="4"/>
    <s v="Y"/>
    <x v="0"/>
    <n v="13"/>
    <n v="3"/>
    <n v="3"/>
    <n v="80"/>
    <n v="1"/>
    <n v="10"/>
    <n v="1"/>
    <n v="2"/>
    <n v="7"/>
    <n v="7"/>
    <n v="1"/>
    <n v="0"/>
  </r>
  <r>
    <x v="14"/>
    <x v="1"/>
    <x v="0"/>
    <n v="995"/>
    <x v="1"/>
    <n v="9"/>
    <n v="3"/>
    <x v="2"/>
    <x v="0"/>
    <x v="668"/>
    <n v="3"/>
    <x v="0"/>
    <n v="77"/>
    <n v="3"/>
    <n v="1"/>
    <x v="1"/>
    <n v="3"/>
    <x v="2"/>
    <n v="2377"/>
    <n v="9834"/>
    <n v="5"/>
    <s v="Y"/>
    <x v="1"/>
    <n v="18"/>
    <n v="3"/>
    <n v="2"/>
    <n v="80"/>
    <n v="1"/>
    <n v="6"/>
    <n v="2"/>
    <n v="3"/>
    <n v="2"/>
    <n v="2"/>
    <n v="2"/>
    <n v="2"/>
  </r>
  <r>
    <x v="22"/>
    <x v="0"/>
    <x v="0"/>
    <n v="1122"/>
    <x v="1"/>
    <n v="6"/>
    <n v="3"/>
    <x v="2"/>
    <x v="0"/>
    <x v="669"/>
    <n v="4"/>
    <x v="1"/>
    <n v="70"/>
    <n v="3"/>
    <n v="1"/>
    <x v="2"/>
    <n v="1"/>
    <x v="1"/>
    <n v="2404"/>
    <n v="4303"/>
    <n v="7"/>
    <s v="Y"/>
    <x v="0"/>
    <n v="21"/>
    <n v="4"/>
    <n v="4"/>
    <n v="80"/>
    <n v="0"/>
    <n v="8"/>
    <n v="2"/>
    <n v="1"/>
    <n v="2"/>
    <n v="2"/>
    <n v="2"/>
    <n v="2"/>
  </r>
  <r>
    <x v="4"/>
    <x v="1"/>
    <x v="0"/>
    <n v="618"/>
    <x v="1"/>
    <n v="4"/>
    <n v="3"/>
    <x v="0"/>
    <x v="0"/>
    <x v="670"/>
    <n v="2"/>
    <x v="0"/>
    <n v="76"/>
    <n v="3"/>
    <n v="1"/>
    <x v="1"/>
    <n v="3"/>
    <x v="0"/>
    <n v="2318"/>
    <n v="17808"/>
    <n v="1"/>
    <s v="Y"/>
    <x v="1"/>
    <n v="19"/>
    <n v="3"/>
    <n v="3"/>
    <n v="80"/>
    <n v="0"/>
    <n v="1"/>
    <n v="2"/>
    <n v="3"/>
    <n v="1"/>
    <n v="1"/>
    <n v="0"/>
    <n v="0"/>
  </r>
  <r>
    <x v="13"/>
    <x v="1"/>
    <x v="0"/>
    <n v="546"/>
    <x v="1"/>
    <n v="10"/>
    <n v="3"/>
    <x v="0"/>
    <x v="0"/>
    <x v="671"/>
    <n v="2"/>
    <x v="1"/>
    <n v="83"/>
    <n v="3"/>
    <n v="1"/>
    <x v="2"/>
    <n v="2"/>
    <x v="2"/>
    <n v="2008"/>
    <n v="6896"/>
    <n v="1"/>
    <s v="Y"/>
    <x v="1"/>
    <n v="14"/>
    <n v="3"/>
    <n v="2"/>
    <n v="80"/>
    <n v="2"/>
    <n v="1"/>
    <n v="3"/>
    <n v="3"/>
    <n v="1"/>
    <n v="0"/>
    <n v="1"/>
    <n v="0"/>
  </r>
  <r>
    <x v="19"/>
    <x v="1"/>
    <x v="0"/>
    <n v="462"/>
    <x v="0"/>
    <n v="14"/>
    <n v="2"/>
    <x v="2"/>
    <x v="0"/>
    <x v="672"/>
    <n v="3"/>
    <x v="0"/>
    <n v="68"/>
    <n v="2"/>
    <n v="2"/>
    <x v="0"/>
    <n v="3"/>
    <x v="0"/>
    <n v="6244"/>
    <n v="7824"/>
    <n v="7"/>
    <s v="Y"/>
    <x v="1"/>
    <n v="17"/>
    <n v="3"/>
    <n v="1"/>
    <n v="80"/>
    <n v="0"/>
    <n v="10"/>
    <n v="6"/>
    <n v="3"/>
    <n v="5"/>
    <n v="4"/>
    <n v="0"/>
    <n v="3"/>
  </r>
  <r>
    <x v="3"/>
    <x v="1"/>
    <x v="0"/>
    <n v="1198"/>
    <x v="1"/>
    <n v="1"/>
    <n v="4"/>
    <x v="1"/>
    <x v="0"/>
    <x v="673"/>
    <n v="3"/>
    <x v="1"/>
    <n v="100"/>
    <n v="2"/>
    <n v="1"/>
    <x v="1"/>
    <n v="1"/>
    <x v="0"/>
    <n v="2799"/>
    <n v="3339"/>
    <n v="3"/>
    <s v="Y"/>
    <x v="0"/>
    <n v="11"/>
    <n v="3"/>
    <n v="2"/>
    <n v="80"/>
    <n v="0"/>
    <n v="6"/>
    <n v="1"/>
    <n v="3"/>
    <n v="3"/>
    <n v="2"/>
    <n v="0"/>
    <n v="2"/>
  </r>
  <r>
    <x v="34"/>
    <x v="1"/>
    <x v="0"/>
    <n v="1272"/>
    <x v="1"/>
    <n v="5"/>
    <n v="3"/>
    <x v="4"/>
    <x v="0"/>
    <x v="674"/>
    <n v="3"/>
    <x v="0"/>
    <n v="37"/>
    <n v="2"/>
    <n v="3"/>
    <x v="4"/>
    <n v="2"/>
    <x v="2"/>
    <n v="10552"/>
    <n v="9255"/>
    <n v="2"/>
    <s v="Y"/>
    <x v="0"/>
    <n v="13"/>
    <n v="3"/>
    <n v="4"/>
    <n v="80"/>
    <n v="1"/>
    <n v="24"/>
    <n v="3"/>
    <n v="3"/>
    <n v="6"/>
    <n v="0"/>
    <n v="0"/>
    <n v="4"/>
  </r>
  <r>
    <x v="12"/>
    <x v="1"/>
    <x v="0"/>
    <n v="154"/>
    <x v="0"/>
    <n v="7"/>
    <n v="4"/>
    <x v="0"/>
    <x v="0"/>
    <x v="675"/>
    <n v="2"/>
    <x v="1"/>
    <n v="41"/>
    <n v="2"/>
    <n v="1"/>
    <x v="6"/>
    <n v="3"/>
    <x v="1"/>
    <n v="2329"/>
    <n v="11737"/>
    <n v="3"/>
    <s v="Y"/>
    <x v="1"/>
    <n v="15"/>
    <n v="3"/>
    <n v="2"/>
    <n v="80"/>
    <n v="0"/>
    <n v="13"/>
    <n v="2"/>
    <n v="4"/>
    <n v="7"/>
    <n v="7"/>
    <n v="5"/>
    <n v="2"/>
  </r>
  <r>
    <x v="10"/>
    <x v="1"/>
    <x v="0"/>
    <n v="1137"/>
    <x v="1"/>
    <n v="21"/>
    <n v="1"/>
    <x v="0"/>
    <x v="0"/>
    <x v="676"/>
    <n v="4"/>
    <x v="0"/>
    <n v="51"/>
    <n v="3"/>
    <n v="2"/>
    <x v="4"/>
    <n v="4"/>
    <x v="1"/>
    <n v="4014"/>
    <n v="19170"/>
    <n v="1"/>
    <s v="Y"/>
    <x v="0"/>
    <n v="25"/>
    <n v="4"/>
    <n v="4"/>
    <n v="80"/>
    <n v="1"/>
    <n v="10"/>
    <n v="2"/>
    <n v="1"/>
    <n v="10"/>
    <n v="6"/>
    <n v="0"/>
    <n v="7"/>
  </r>
  <r>
    <x v="1"/>
    <x v="1"/>
    <x v="0"/>
    <n v="527"/>
    <x v="1"/>
    <n v="8"/>
    <n v="2"/>
    <x v="1"/>
    <x v="0"/>
    <x v="677"/>
    <n v="1"/>
    <x v="0"/>
    <n v="51"/>
    <n v="3"/>
    <n v="3"/>
    <x v="2"/>
    <n v="2"/>
    <x v="1"/>
    <n v="7403"/>
    <n v="22477"/>
    <n v="4"/>
    <s v="Y"/>
    <x v="1"/>
    <n v="11"/>
    <n v="3"/>
    <n v="3"/>
    <n v="80"/>
    <n v="1"/>
    <n v="29"/>
    <n v="3"/>
    <n v="2"/>
    <n v="26"/>
    <n v="9"/>
    <n v="1"/>
    <n v="7"/>
  </r>
  <r>
    <x v="26"/>
    <x v="1"/>
    <x v="0"/>
    <n v="1469"/>
    <x v="1"/>
    <n v="20"/>
    <n v="4"/>
    <x v="2"/>
    <x v="0"/>
    <x v="678"/>
    <n v="4"/>
    <x v="1"/>
    <n v="51"/>
    <n v="3"/>
    <n v="1"/>
    <x v="1"/>
    <n v="3"/>
    <x v="1"/>
    <n v="2259"/>
    <n v="5543"/>
    <n v="4"/>
    <s v="Y"/>
    <x v="1"/>
    <n v="17"/>
    <n v="3"/>
    <n v="1"/>
    <n v="80"/>
    <n v="2"/>
    <n v="13"/>
    <n v="2"/>
    <n v="2"/>
    <n v="0"/>
    <n v="0"/>
    <n v="0"/>
    <n v="0"/>
  </r>
  <r>
    <x v="12"/>
    <x v="1"/>
    <x v="2"/>
    <n v="1188"/>
    <x v="0"/>
    <n v="20"/>
    <n v="2"/>
    <x v="3"/>
    <x v="0"/>
    <x v="679"/>
    <n v="4"/>
    <x v="0"/>
    <n v="45"/>
    <n v="3"/>
    <n v="2"/>
    <x v="0"/>
    <n v="3"/>
    <x v="1"/>
    <n v="6932"/>
    <n v="24406"/>
    <n v="1"/>
    <s v="Y"/>
    <x v="1"/>
    <n v="13"/>
    <n v="3"/>
    <n v="4"/>
    <n v="80"/>
    <n v="1"/>
    <n v="9"/>
    <n v="2"/>
    <n v="2"/>
    <n v="9"/>
    <n v="8"/>
    <n v="0"/>
    <n v="0"/>
  </r>
  <r>
    <x v="9"/>
    <x v="1"/>
    <x v="0"/>
    <n v="188"/>
    <x v="1"/>
    <n v="7"/>
    <n v="4"/>
    <x v="1"/>
    <x v="0"/>
    <x v="680"/>
    <n v="2"/>
    <x v="1"/>
    <n v="65"/>
    <n v="3"/>
    <n v="1"/>
    <x v="1"/>
    <n v="4"/>
    <x v="0"/>
    <n v="4678"/>
    <n v="23293"/>
    <n v="2"/>
    <s v="Y"/>
    <x v="1"/>
    <n v="18"/>
    <n v="3"/>
    <n v="3"/>
    <n v="80"/>
    <n v="0"/>
    <n v="8"/>
    <n v="6"/>
    <n v="3"/>
    <n v="6"/>
    <n v="2"/>
    <n v="0"/>
    <n v="1"/>
  </r>
  <r>
    <x v="8"/>
    <x v="1"/>
    <x v="0"/>
    <n v="1333"/>
    <x v="1"/>
    <n v="1"/>
    <n v="3"/>
    <x v="4"/>
    <x v="0"/>
    <x v="681"/>
    <n v="4"/>
    <x v="0"/>
    <n v="80"/>
    <n v="3"/>
    <n v="3"/>
    <x v="7"/>
    <n v="1"/>
    <x v="1"/>
    <n v="13582"/>
    <n v="16292"/>
    <n v="1"/>
    <s v="Y"/>
    <x v="1"/>
    <n v="13"/>
    <n v="3"/>
    <n v="2"/>
    <n v="80"/>
    <n v="1"/>
    <n v="15"/>
    <n v="3"/>
    <n v="3"/>
    <n v="15"/>
    <n v="12"/>
    <n v="5"/>
    <n v="11"/>
  </r>
  <r>
    <x v="5"/>
    <x v="1"/>
    <x v="2"/>
    <n v="1184"/>
    <x v="1"/>
    <n v="1"/>
    <n v="3"/>
    <x v="0"/>
    <x v="0"/>
    <x v="682"/>
    <n v="3"/>
    <x v="0"/>
    <n v="70"/>
    <n v="2"/>
    <n v="1"/>
    <x v="2"/>
    <n v="2"/>
    <x v="1"/>
    <n v="2332"/>
    <n v="3974"/>
    <n v="6"/>
    <s v="Y"/>
    <x v="1"/>
    <n v="20"/>
    <n v="4"/>
    <n v="3"/>
    <n v="80"/>
    <n v="0"/>
    <n v="5"/>
    <n v="3"/>
    <n v="3"/>
    <n v="3"/>
    <n v="0"/>
    <n v="0"/>
    <n v="2"/>
  </r>
  <r>
    <x v="36"/>
    <x v="0"/>
    <x v="0"/>
    <n v="867"/>
    <x v="0"/>
    <n v="19"/>
    <n v="2"/>
    <x v="3"/>
    <x v="0"/>
    <x v="683"/>
    <n v="3"/>
    <x v="1"/>
    <n v="36"/>
    <n v="2"/>
    <n v="1"/>
    <x v="6"/>
    <n v="2"/>
    <x v="1"/>
    <n v="2413"/>
    <n v="18798"/>
    <n v="1"/>
    <s v="Y"/>
    <x v="0"/>
    <n v="18"/>
    <n v="3"/>
    <n v="3"/>
    <n v="80"/>
    <n v="3"/>
    <n v="1"/>
    <n v="2"/>
    <n v="3"/>
    <n v="1"/>
    <n v="0"/>
    <n v="0"/>
    <n v="0"/>
  </r>
  <r>
    <x v="32"/>
    <x v="1"/>
    <x v="0"/>
    <n v="658"/>
    <x v="0"/>
    <n v="10"/>
    <n v="4"/>
    <x v="3"/>
    <x v="0"/>
    <x v="684"/>
    <n v="1"/>
    <x v="1"/>
    <n v="67"/>
    <n v="2"/>
    <n v="3"/>
    <x v="0"/>
    <n v="2"/>
    <x v="2"/>
    <n v="9705"/>
    <n v="20652"/>
    <n v="2"/>
    <s v="Y"/>
    <x v="1"/>
    <n v="12"/>
    <n v="3"/>
    <n v="2"/>
    <n v="80"/>
    <n v="1"/>
    <n v="11"/>
    <n v="2"/>
    <n v="2"/>
    <n v="1"/>
    <n v="0"/>
    <n v="0"/>
    <n v="0"/>
  </r>
  <r>
    <x v="25"/>
    <x v="1"/>
    <x v="1"/>
    <n v="1283"/>
    <x v="0"/>
    <n v="1"/>
    <n v="3"/>
    <x v="2"/>
    <x v="0"/>
    <x v="685"/>
    <n v="3"/>
    <x v="1"/>
    <n v="52"/>
    <n v="2"/>
    <n v="2"/>
    <x v="0"/>
    <n v="1"/>
    <x v="0"/>
    <n v="4294"/>
    <n v="11148"/>
    <n v="1"/>
    <s v="Y"/>
    <x v="1"/>
    <n v="12"/>
    <n v="3"/>
    <n v="2"/>
    <n v="80"/>
    <n v="0"/>
    <n v="7"/>
    <n v="2"/>
    <n v="3"/>
    <n v="7"/>
    <n v="7"/>
    <n v="0"/>
    <n v="7"/>
  </r>
  <r>
    <x v="0"/>
    <x v="1"/>
    <x v="0"/>
    <n v="263"/>
    <x v="1"/>
    <n v="6"/>
    <n v="3"/>
    <x v="2"/>
    <x v="0"/>
    <x v="686"/>
    <n v="4"/>
    <x v="1"/>
    <n v="59"/>
    <n v="3"/>
    <n v="1"/>
    <x v="2"/>
    <n v="1"/>
    <x v="0"/>
    <n v="4721"/>
    <n v="3119"/>
    <n v="2"/>
    <s v="Y"/>
    <x v="0"/>
    <n v="13"/>
    <n v="3"/>
    <n v="3"/>
    <n v="80"/>
    <n v="0"/>
    <n v="20"/>
    <n v="3"/>
    <n v="3"/>
    <n v="18"/>
    <n v="13"/>
    <n v="2"/>
    <n v="17"/>
  </r>
  <r>
    <x v="9"/>
    <x v="1"/>
    <x v="0"/>
    <n v="938"/>
    <x v="1"/>
    <n v="2"/>
    <n v="4"/>
    <x v="2"/>
    <x v="0"/>
    <x v="687"/>
    <n v="3"/>
    <x v="1"/>
    <n v="79"/>
    <n v="3"/>
    <n v="1"/>
    <x v="2"/>
    <n v="3"/>
    <x v="0"/>
    <n v="2519"/>
    <n v="12287"/>
    <n v="4"/>
    <s v="Y"/>
    <x v="1"/>
    <n v="21"/>
    <n v="4"/>
    <n v="3"/>
    <n v="80"/>
    <n v="0"/>
    <n v="16"/>
    <n v="6"/>
    <n v="3"/>
    <n v="11"/>
    <n v="8"/>
    <n v="3"/>
    <n v="9"/>
  </r>
  <r>
    <x v="37"/>
    <x v="0"/>
    <x v="0"/>
    <n v="419"/>
    <x v="0"/>
    <n v="21"/>
    <n v="3"/>
    <x v="1"/>
    <x v="0"/>
    <x v="688"/>
    <n v="4"/>
    <x v="1"/>
    <n v="37"/>
    <n v="2"/>
    <n v="1"/>
    <x v="6"/>
    <n v="2"/>
    <x v="0"/>
    <n v="2121"/>
    <n v="9947"/>
    <n v="1"/>
    <s v="Y"/>
    <x v="0"/>
    <n v="13"/>
    <n v="3"/>
    <n v="2"/>
    <n v="80"/>
    <n v="0"/>
    <n v="1"/>
    <n v="3"/>
    <n v="4"/>
    <n v="1"/>
    <n v="0"/>
    <n v="0"/>
    <n v="0"/>
  </r>
  <r>
    <x v="35"/>
    <x v="0"/>
    <x v="0"/>
    <n v="129"/>
    <x v="1"/>
    <n v="4"/>
    <n v="3"/>
    <x v="4"/>
    <x v="0"/>
    <x v="689"/>
    <n v="1"/>
    <x v="1"/>
    <n v="84"/>
    <n v="3"/>
    <n v="1"/>
    <x v="2"/>
    <n v="1"/>
    <x v="0"/>
    <n v="2973"/>
    <n v="13008"/>
    <n v="1"/>
    <s v="Y"/>
    <x v="1"/>
    <n v="19"/>
    <n v="3"/>
    <n v="2"/>
    <n v="80"/>
    <n v="0"/>
    <n v="1"/>
    <n v="2"/>
    <n v="3"/>
    <n v="1"/>
    <n v="0"/>
    <n v="0"/>
    <n v="0"/>
  </r>
  <r>
    <x v="12"/>
    <x v="1"/>
    <x v="0"/>
    <n v="616"/>
    <x v="1"/>
    <n v="12"/>
    <n v="3"/>
    <x v="2"/>
    <x v="0"/>
    <x v="690"/>
    <n v="4"/>
    <x v="0"/>
    <n v="41"/>
    <n v="3"/>
    <n v="2"/>
    <x v="4"/>
    <n v="4"/>
    <x v="1"/>
    <n v="5855"/>
    <n v="17369"/>
    <n v="0"/>
    <s v="Y"/>
    <x v="0"/>
    <n v="11"/>
    <n v="3"/>
    <n v="3"/>
    <n v="80"/>
    <n v="2"/>
    <n v="10"/>
    <n v="2"/>
    <n v="1"/>
    <n v="9"/>
    <n v="7"/>
    <n v="8"/>
    <n v="5"/>
  </r>
  <r>
    <x v="32"/>
    <x v="1"/>
    <x v="1"/>
    <n v="1469"/>
    <x v="1"/>
    <n v="9"/>
    <n v="4"/>
    <x v="2"/>
    <x v="0"/>
    <x v="691"/>
    <n v="4"/>
    <x v="1"/>
    <n v="35"/>
    <n v="3"/>
    <n v="1"/>
    <x v="1"/>
    <n v="2"/>
    <x v="2"/>
    <n v="3617"/>
    <n v="25063"/>
    <n v="8"/>
    <s v="Y"/>
    <x v="0"/>
    <n v="14"/>
    <n v="3"/>
    <n v="4"/>
    <n v="80"/>
    <n v="1"/>
    <n v="3"/>
    <n v="2"/>
    <n v="3"/>
    <n v="1"/>
    <n v="1"/>
    <n v="0"/>
    <n v="0"/>
  </r>
  <r>
    <x v="5"/>
    <x v="1"/>
    <x v="0"/>
    <n v="498"/>
    <x v="1"/>
    <n v="3"/>
    <n v="4"/>
    <x v="2"/>
    <x v="0"/>
    <x v="692"/>
    <n v="3"/>
    <x v="0"/>
    <n v="93"/>
    <n v="3"/>
    <n v="2"/>
    <x v="3"/>
    <n v="1"/>
    <x v="1"/>
    <n v="6725"/>
    <n v="13554"/>
    <n v="1"/>
    <s v="Y"/>
    <x v="1"/>
    <n v="12"/>
    <n v="3"/>
    <n v="3"/>
    <n v="80"/>
    <n v="1"/>
    <n v="8"/>
    <n v="2"/>
    <n v="4"/>
    <n v="8"/>
    <n v="7"/>
    <n v="6"/>
    <n v="3"/>
  </r>
  <r>
    <x v="9"/>
    <x v="0"/>
    <x v="0"/>
    <n v="530"/>
    <x v="0"/>
    <n v="3"/>
    <n v="1"/>
    <x v="0"/>
    <x v="0"/>
    <x v="693"/>
    <n v="3"/>
    <x v="1"/>
    <n v="51"/>
    <n v="2"/>
    <n v="3"/>
    <x v="0"/>
    <n v="4"/>
    <x v="1"/>
    <n v="10325"/>
    <n v="5518"/>
    <n v="1"/>
    <s v="Y"/>
    <x v="0"/>
    <n v="11"/>
    <n v="3"/>
    <n v="1"/>
    <n v="80"/>
    <n v="1"/>
    <n v="16"/>
    <n v="6"/>
    <n v="3"/>
    <n v="16"/>
    <n v="7"/>
    <n v="3"/>
    <n v="7"/>
  </r>
  <r>
    <x v="3"/>
    <x v="1"/>
    <x v="0"/>
    <n v="1069"/>
    <x v="1"/>
    <n v="1"/>
    <n v="3"/>
    <x v="0"/>
    <x v="0"/>
    <x v="694"/>
    <n v="2"/>
    <x v="0"/>
    <n v="42"/>
    <n v="2"/>
    <n v="2"/>
    <x v="4"/>
    <n v="4"/>
    <x v="0"/>
    <n v="6949"/>
    <n v="12291"/>
    <n v="0"/>
    <s v="Y"/>
    <x v="1"/>
    <n v="14"/>
    <n v="3"/>
    <n v="1"/>
    <n v="80"/>
    <n v="0"/>
    <n v="6"/>
    <n v="3"/>
    <n v="3"/>
    <n v="5"/>
    <n v="0"/>
    <n v="1"/>
    <n v="4"/>
  </r>
  <r>
    <x v="2"/>
    <x v="0"/>
    <x v="0"/>
    <n v="625"/>
    <x v="0"/>
    <n v="1"/>
    <n v="4"/>
    <x v="0"/>
    <x v="0"/>
    <x v="695"/>
    <n v="1"/>
    <x v="1"/>
    <n v="46"/>
    <n v="2"/>
    <n v="3"/>
    <x v="0"/>
    <n v="3"/>
    <x v="1"/>
    <n v="10609"/>
    <n v="14922"/>
    <n v="5"/>
    <s v="Y"/>
    <x v="1"/>
    <n v="11"/>
    <n v="3"/>
    <n v="3"/>
    <n v="80"/>
    <n v="0"/>
    <n v="17"/>
    <n v="2"/>
    <n v="1"/>
    <n v="14"/>
    <n v="1"/>
    <n v="11"/>
    <n v="7"/>
  </r>
  <r>
    <x v="28"/>
    <x v="1"/>
    <x v="2"/>
    <n v="805"/>
    <x v="1"/>
    <n v="4"/>
    <n v="2"/>
    <x v="0"/>
    <x v="0"/>
    <x v="696"/>
    <n v="3"/>
    <x v="1"/>
    <n v="57"/>
    <n v="3"/>
    <n v="2"/>
    <x v="2"/>
    <n v="2"/>
    <x v="1"/>
    <n v="4447"/>
    <n v="23163"/>
    <n v="1"/>
    <s v="Y"/>
    <x v="1"/>
    <n v="12"/>
    <n v="3"/>
    <n v="2"/>
    <n v="80"/>
    <n v="0"/>
    <n v="9"/>
    <n v="5"/>
    <n v="2"/>
    <n v="9"/>
    <n v="7"/>
    <n v="0"/>
    <n v="8"/>
  </r>
  <r>
    <x v="11"/>
    <x v="1"/>
    <x v="1"/>
    <n v="1404"/>
    <x v="0"/>
    <n v="20"/>
    <n v="3"/>
    <x v="4"/>
    <x v="0"/>
    <x v="697"/>
    <n v="3"/>
    <x v="0"/>
    <n v="84"/>
    <n v="3"/>
    <n v="1"/>
    <x v="6"/>
    <n v="4"/>
    <x v="1"/>
    <n v="2157"/>
    <n v="18203"/>
    <n v="1"/>
    <s v="Y"/>
    <x v="1"/>
    <n v="15"/>
    <n v="3"/>
    <n v="2"/>
    <n v="80"/>
    <n v="1"/>
    <n v="3"/>
    <n v="5"/>
    <n v="3"/>
    <n v="3"/>
    <n v="1"/>
    <n v="0"/>
    <n v="2"/>
  </r>
  <r>
    <x v="10"/>
    <x v="1"/>
    <x v="0"/>
    <n v="1219"/>
    <x v="0"/>
    <n v="18"/>
    <n v="3"/>
    <x v="2"/>
    <x v="0"/>
    <x v="698"/>
    <n v="3"/>
    <x v="0"/>
    <n v="86"/>
    <n v="3"/>
    <n v="2"/>
    <x v="0"/>
    <n v="3"/>
    <x v="1"/>
    <n v="4601"/>
    <n v="6179"/>
    <n v="1"/>
    <s v="Y"/>
    <x v="1"/>
    <n v="16"/>
    <n v="3"/>
    <n v="2"/>
    <n v="80"/>
    <n v="0"/>
    <n v="5"/>
    <n v="3"/>
    <n v="3"/>
    <n v="5"/>
    <n v="2"/>
    <n v="1"/>
    <n v="0"/>
  </r>
  <r>
    <x v="39"/>
    <x v="1"/>
    <x v="0"/>
    <n v="1053"/>
    <x v="1"/>
    <n v="1"/>
    <n v="2"/>
    <x v="0"/>
    <x v="0"/>
    <x v="699"/>
    <n v="4"/>
    <x v="1"/>
    <n v="70"/>
    <n v="3"/>
    <n v="4"/>
    <x v="5"/>
    <n v="4"/>
    <x v="1"/>
    <n v="17099"/>
    <n v="13829"/>
    <n v="2"/>
    <s v="Y"/>
    <x v="1"/>
    <n v="15"/>
    <n v="3"/>
    <n v="2"/>
    <n v="80"/>
    <n v="1"/>
    <n v="26"/>
    <n v="2"/>
    <n v="2"/>
    <n v="9"/>
    <n v="8"/>
    <n v="7"/>
    <n v="8"/>
  </r>
  <r>
    <x v="34"/>
    <x v="0"/>
    <x v="0"/>
    <n v="289"/>
    <x v="1"/>
    <n v="2"/>
    <n v="3"/>
    <x v="4"/>
    <x v="0"/>
    <x v="700"/>
    <n v="4"/>
    <x v="1"/>
    <n v="51"/>
    <n v="3"/>
    <n v="1"/>
    <x v="1"/>
    <n v="3"/>
    <x v="0"/>
    <n v="2479"/>
    <n v="26227"/>
    <n v="4"/>
    <s v="Y"/>
    <x v="1"/>
    <n v="24"/>
    <n v="4"/>
    <n v="1"/>
    <n v="80"/>
    <n v="0"/>
    <n v="7"/>
    <n v="4"/>
    <n v="3"/>
    <n v="1"/>
    <n v="0"/>
    <n v="0"/>
    <n v="0"/>
  </r>
  <r>
    <x v="16"/>
    <x v="1"/>
    <x v="0"/>
    <n v="1376"/>
    <x v="0"/>
    <n v="2"/>
    <n v="2"/>
    <x v="2"/>
    <x v="0"/>
    <x v="701"/>
    <n v="3"/>
    <x v="1"/>
    <n v="45"/>
    <n v="3"/>
    <n v="4"/>
    <x v="5"/>
    <n v="3"/>
    <x v="2"/>
    <n v="14852"/>
    <n v="13938"/>
    <n v="6"/>
    <s v="Y"/>
    <x v="1"/>
    <n v="13"/>
    <n v="3"/>
    <n v="3"/>
    <n v="80"/>
    <n v="1"/>
    <n v="22"/>
    <n v="3"/>
    <n v="4"/>
    <n v="17"/>
    <n v="13"/>
    <n v="15"/>
    <n v="2"/>
  </r>
  <r>
    <x v="7"/>
    <x v="1"/>
    <x v="0"/>
    <n v="231"/>
    <x v="0"/>
    <n v="8"/>
    <n v="2"/>
    <x v="1"/>
    <x v="0"/>
    <x v="702"/>
    <n v="3"/>
    <x v="1"/>
    <n v="62"/>
    <n v="3"/>
    <n v="3"/>
    <x v="0"/>
    <n v="3"/>
    <x v="2"/>
    <n v="7264"/>
    <n v="9977"/>
    <n v="5"/>
    <s v="Y"/>
    <x v="1"/>
    <n v="11"/>
    <n v="3"/>
    <n v="1"/>
    <n v="80"/>
    <n v="1"/>
    <n v="10"/>
    <n v="2"/>
    <n v="4"/>
    <n v="8"/>
    <n v="4"/>
    <n v="7"/>
    <n v="7"/>
  </r>
  <r>
    <x v="8"/>
    <x v="1"/>
    <x v="2"/>
    <n v="152"/>
    <x v="0"/>
    <n v="10"/>
    <n v="3"/>
    <x v="4"/>
    <x v="0"/>
    <x v="703"/>
    <n v="3"/>
    <x v="0"/>
    <n v="85"/>
    <n v="3"/>
    <n v="2"/>
    <x v="0"/>
    <n v="4"/>
    <x v="0"/>
    <n v="5666"/>
    <n v="19899"/>
    <n v="1"/>
    <s v="Y"/>
    <x v="0"/>
    <n v="13"/>
    <n v="3"/>
    <n v="2"/>
    <n v="80"/>
    <n v="0"/>
    <n v="6"/>
    <n v="1"/>
    <n v="3"/>
    <n v="5"/>
    <n v="3"/>
    <n v="1"/>
    <n v="3"/>
  </r>
  <r>
    <x v="10"/>
    <x v="1"/>
    <x v="0"/>
    <n v="882"/>
    <x v="0"/>
    <n v="3"/>
    <n v="4"/>
    <x v="0"/>
    <x v="0"/>
    <x v="704"/>
    <n v="4"/>
    <x v="1"/>
    <n v="92"/>
    <n v="3"/>
    <n v="3"/>
    <x v="0"/>
    <n v="4"/>
    <x v="2"/>
    <n v="7823"/>
    <n v="6812"/>
    <n v="6"/>
    <s v="Y"/>
    <x v="1"/>
    <n v="13"/>
    <n v="3"/>
    <n v="2"/>
    <n v="80"/>
    <n v="1"/>
    <n v="12"/>
    <n v="2"/>
    <n v="3"/>
    <n v="10"/>
    <n v="9"/>
    <n v="0"/>
    <n v="8"/>
  </r>
  <r>
    <x v="22"/>
    <x v="1"/>
    <x v="0"/>
    <n v="903"/>
    <x v="0"/>
    <n v="2"/>
    <n v="5"/>
    <x v="0"/>
    <x v="0"/>
    <x v="705"/>
    <n v="1"/>
    <x v="1"/>
    <n v="41"/>
    <n v="4"/>
    <n v="3"/>
    <x v="0"/>
    <n v="3"/>
    <x v="0"/>
    <n v="7880"/>
    <n v="2560"/>
    <n v="0"/>
    <s v="Y"/>
    <x v="1"/>
    <n v="18"/>
    <n v="3"/>
    <n v="4"/>
    <n v="80"/>
    <n v="0"/>
    <n v="9"/>
    <n v="3"/>
    <n v="3"/>
    <n v="8"/>
    <n v="7"/>
    <n v="0"/>
    <n v="7"/>
  </r>
  <r>
    <x v="32"/>
    <x v="0"/>
    <x v="2"/>
    <n v="1479"/>
    <x v="0"/>
    <n v="24"/>
    <n v="3"/>
    <x v="0"/>
    <x v="0"/>
    <x v="706"/>
    <n v="2"/>
    <x v="0"/>
    <n v="100"/>
    <n v="4"/>
    <n v="4"/>
    <x v="0"/>
    <n v="2"/>
    <x v="0"/>
    <n v="13194"/>
    <n v="17071"/>
    <n v="4"/>
    <s v="Y"/>
    <x v="0"/>
    <n v="16"/>
    <n v="3"/>
    <n v="4"/>
    <n v="80"/>
    <n v="0"/>
    <n v="22"/>
    <n v="2"/>
    <n v="2"/>
    <n v="1"/>
    <n v="0"/>
    <n v="0"/>
    <n v="0"/>
  </r>
  <r>
    <x v="40"/>
    <x v="1"/>
    <x v="1"/>
    <n v="1379"/>
    <x v="1"/>
    <n v="16"/>
    <n v="4"/>
    <x v="2"/>
    <x v="0"/>
    <x v="707"/>
    <n v="3"/>
    <x v="1"/>
    <n v="64"/>
    <n v="4"/>
    <n v="2"/>
    <x v="3"/>
    <n v="3"/>
    <x v="2"/>
    <n v="5067"/>
    <n v="6759"/>
    <n v="1"/>
    <s v="Y"/>
    <x v="0"/>
    <n v="19"/>
    <n v="3"/>
    <n v="3"/>
    <n v="80"/>
    <n v="0"/>
    <n v="20"/>
    <n v="3"/>
    <n v="4"/>
    <n v="19"/>
    <n v="10"/>
    <n v="2"/>
    <n v="7"/>
  </r>
  <r>
    <x v="9"/>
    <x v="1"/>
    <x v="2"/>
    <n v="1229"/>
    <x v="0"/>
    <n v="8"/>
    <n v="4"/>
    <x v="4"/>
    <x v="0"/>
    <x v="708"/>
    <n v="1"/>
    <x v="1"/>
    <n v="84"/>
    <n v="3"/>
    <n v="2"/>
    <x v="0"/>
    <n v="4"/>
    <x v="2"/>
    <n v="5079"/>
    <n v="25952"/>
    <n v="4"/>
    <s v="Y"/>
    <x v="1"/>
    <n v="13"/>
    <n v="3"/>
    <n v="4"/>
    <n v="80"/>
    <n v="2"/>
    <n v="12"/>
    <n v="3"/>
    <n v="3"/>
    <n v="7"/>
    <n v="7"/>
    <n v="0"/>
    <n v="7"/>
  </r>
  <r>
    <x v="12"/>
    <x v="0"/>
    <x v="2"/>
    <n v="335"/>
    <x v="1"/>
    <n v="9"/>
    <n v="2"/>
    <x v="2"/>
    <x v="0"/>
    <x v="709"/>
    <n v="3"/>
    <x v="1"/>
    <n v="46"/>
    <n v="2"/>
    <n v="1"/>
    <x v="1"/>
    <n v="1"/>
    <x v="0"/>
    <n v="2321"/>
    <n v="10322"/>
    <n v="0"/>
    <s v="Y"/>
    <x v="0"/>
    <n v="22"/>
    <n v="4"/>
    <n v="1"/>
    <n v="80"/>
    <n v="0"/>
    <n v="4"/>
    <n v="0"/>
    <n v="3"/>
    <n v="3"/>
    <n v="2"/>
    <n v="1"/>
    <n v="2"/>
  </r>
  <r>
    <x v="3"/>
    <x v="1"/>
    <x v="2"/>
    <n v="722"/>
    <x v="0"/>
    <n v="17"/>
    <n v="3"/>
    <x v="0"/>
    <x v="0"/>
    <x v="710"/>
    <n v="4"/>
    <x v="1"/>
    <n v="38"/>
    <n v="3"/>
    <n v="4"/>
    <x v="5"/>
    <n v="3"/>
    <x v="0"/>
    <n v="17444"/>
    <n v="20489"/>
    <n v="1"/>
    <s v="Y"/>
    <x v="1"/>
    <n v="11"/>
    <n v="3"/>
    <n v="4"/>
    <n v="80"/>
    <n v="0"/>
    <n v="10"/>
    <n v="2"/>
    <n v="3"/>
    <n v="10"/>
    <n v="8"/>
    <n v="6"/>
    <n v="0"/>
  </r>
  <r>
    <x v="11"/>
    <x v="0"/>
    <x v="0"/>
    <n v="906"/>
    <x v="1"/>
    <n v="10"/>
    <n v="3"/>
    <x v="0"/>
    <x v="0"/>
    <x v="711"/>
    <n v="4"/>
    <x v="0"/>
    <n v="92"/>
    <n v="2"/>
    <n v="1"/>
    <x v="1"/>
    <n v="1"/>
    <x v="0"/>
    <n v="2404"/>
    <n v="11479"/>
    <n v="6"/>
    <s v="Y"/>
    <x v="0"/>
    <n v="20"/>
    <n v="4"/>
    <n v="3"/>
    <n v="80"/>
    <n v="0"/>
    <n v="3"/>
    <n v="5"/>
    <n v="3"/>
    <n v="0"/>
    <n v="0"/>
    <n v="0"/>
    <n v="0"/>
  </r>
  <r>
    <x v="3"/>
    <x v="1"/>
    <x v="0"/>
    <n v="461"/>
    <x v="1"/>
    <n v="13"/>
    <n v="1"/>
    <x v="0"/>
    <x v="0"/>
    <x v="712"/>
    <n v="2"/>
    <x v="0"/>
    <n v="53"/>
    <n v="3"/>
    <n v="1"/>
    <x v="1"/>
    <n v="4"/>
    <x v="0"/>
    <n v="3452"/>
    <n v="17241"/>
    <n v="3"/>
    <s v="Y"/>
    <x v="1"/>
    <n v="18"/>
    <n v="3"/>
    <n v="1"/>
    <n v="80"/>
    <n v="0"/>
    <n v="5"/>
    <n v="4"/>
    <n v="3"/>
    <n v="3"/>
    <n v="2"/>
    <n v="0"/>
    <n v="2"/>
  </r>
  <r>
    <x v="28"/>
    <x v="1"/>
    <x v="0"/>
    <n v="974"/>
    <x v="1"/>
    <n v="1"/>
    <n v="4"/>
    <x v="2"/>
    <x v="0"/>
    <x v="713"/>
    <n v="4"/>
    <x v="0"/>
    <n v="91"/>
    <n v="3"/>
    <n v="1"/>
    <x v="2"/>
    <n v="4"/>
    <x v="2"/>
    <n v="2270"/>
    <n v="11005"/>
    <n v="3"/>
    <s v="Y"/>
    <x v="1"/>
    <n v="14"/>
    <n v="3"/>
    <n v="4"/>
    <n v="80"/>
    <n v="2"/>
    <n v="8"/>
    <n v="2"/>
    <n v="3"/>
    <n v="5"/>
    <n v="3"/>
    <n v="0"/>
    <n v="2"/>
  </r>
  <r>
    <x v="24"/>
    <x v="1"/>
    <x v="0"/>
    <n v="1126"/>
    <x v="1"/>
    <n v="1"/>
    <n v="2"/>
    <x v="2"/>
    <x v="0"/>
    <x v="714"/>
    <n v="4"/>
    <x v="1"/>
    <n v="66"/>
    <n v="3"/>
    <n v="4"/>
    <x v="7"/>
    <n v="4"/>
    <x v="2"/>
    <n v="17399"/>
    <n v="6615"/>
    <n v="9"/>
    <s v="Y"/>
    <x v="1"/>
    <n v="22"/>
    <n v="4"/>
    <n v="3"/>
    <n v="80"/>
    <n v="1"/>
    <n v="32"/>
    <n v="1"/>
    <n v="2"/>
    <n v="5"/>
    <n v="4"/>
    <n v="1"/>
    <n v="3"/>
  </r>
  <r>
    <x v="3"/>
    <x v="1"/>
    <x v="1"/>
    <n v="827"/>
    <x v="1"/>
    <n v="1"/>
    <n v="4"/>
    <x v="1"/>
    <x v="0"/>
    <x v="715"/>
    <n v="3"/>
    <x v="0"/>
    <n v="84"/>
    <n v="4"/>
    <n v="2"/>
    <x v="4"/>
    <n v="2"/>
    <x v="1"/>
    <n v="5488"/>
    <n v="20161"/>
    <n v="1"/>
    <s v="Y"/>
    <x v="0"/>
    <n v="13"/>
    <n v="3"/>
    <n v="1"/>
    <n v="80"/>
    <n v="1"/>
    <n v="6"/>
    <n v="2"/>
    <n v="3"/>
    <n v="6"/>
    <n v="5"/>
    <n v="1"/>
    <n v="2"/>
  </r>
  <r>
    <x v="0"/>
    <x v="1"/>
    <x v="1"/>
    <n v="840"/>
    <x v="1"/>
    <n v="9"/>
    <n v="3"/>
    <x v="2"/>
    <x v="0"/>
    <x v="716"/>
    <n v="1"/>
    <x v="1"/>
    <n v="64"/>
    <n v="3"/>
    <n v="5"/>
    <x v="7"/>
    <n v="3"/>
    <x v="2"/>
    <n v="19419"/>
    <n v="3735"/>
    <n v="2"/>
    <s v="Y"/>
    <x v="1"/>
    <n v="17"/>
    <n v="3"/>
    <n v="2"/>
    <n v="80"/>
    <n v="1"/>
    <n v="21"/>
    <n v="2"/>
    <n v="4"/>
    <n v="18"/>
    <n v="16"/>
    <n v="0"/>
    <n v="11"/>
  </r>
  <r>
    <x v="4"/>
    <x v="1"/>
    <x v="0"/>
    <n v="1134"/>
    <x v="1"/>
    <n v="16"/>
    <n v="4"/>
    <x v="4"/>
    <x v="0"/>
    <x v="717"/>
    <n v="3"/>
    <x v="0"/>
    <n v="37"/>
    <n v="3"/>
    <n v="1"/>
    <x v="2"/>
    <n v="2"/>
    <x v="1"/>
    <n v="2811"/>
    <n v="12086"/>
    <n v="9"/>
    <s v="Y"/>
    <x v="1"/>
    <n v="14"/>
    <n v="3"/>
    <n v="2"/>
    <n v="80"/>
    <n v="1"/>
    <n v="4"/>
    <n v="2"/>
    <n v="3"/>
    <n v="2"/>
    <n v="2"/>
    <n v="2"/>
    <n v="2"/>
  </r>
  <r>
    <x v="28"/>
    <x v="1"/>
    <x v="2"/>
    <n v="248"/>
    <x v="1"/>
    <n v="23"/>
    <n v="2"/>
    <x v="0"/>
    <x v="0"/>
    <x v="718"/>
    <n v="4"/>
    <x v="1"/>
    <n v="42"/>
    <n v="3"/>
    <n v="2"/>
    <x v="2"/>
    <n v="1"/>
    <x v="1"/>
    <n v="3633"/>
    <n v="14039"/>
    <n v="1"/>
    <s v="Y"/>
    <x v="0"/>
    <n v="15"/>
    <n v="3"/>
    <n v="3"/>
    <n v="80"/>
    <n v="1"/>
    <n v="9"/>
    <n v="2"/>
    <n v="3"/>
    <n v="9"/>
    <n v="8"/>
    <n v="0"/>
    <n v="8"/>
  </r>
  <r>
    <x v="40"/>
    <x v="1"/>
    <x v="0"/>
    <n v="955"/>
    <x v="0"/>
    <n v="4"/>
    <n v="2"/>
    <x v="0"/>
    <x v="0"/>
    <x v="719"/>
    <n v="4"/>
    <x v="0"/>
    <n v="83"/>
    <n v="3"/>
    <n v="2"/>
    <x v="0"/>
    <n v="4"/>
    <x v="0"/>
    <n v="4163"/>
    <n v="8571"/>
    <n v="1"/>
    <s v="Y"/>
    <x v="0"/>
    <n v="17"/>
    <n v="3"/>
    <n v="3"/>
    <n v="80"/>
    <n v="0"/>
    <n v="9"/>
    <n v="0"/>
    <n v="3"/>
    <n v="9"/>
    <n v="0"/>
    <n v="0"/>
    <n v="7"/>
  </r>
  <r>
    <x v="7"/>
    <x v="0"/>
    <x v="0"/>
    <n v="138"/>
    <x v="1"/>
    <n v="22"/>
    <n v="3"/>
    <x v="0"/>
    <x v="0"/>
    <x v="720"/>
    <n v="1"/>
    <x v="0"/>
    <n v="48"/>
    <n v="3"/>
    <n v="1"/>
    <x v="1"/>
    <n v="3"/>
    <x v="1"/>
    <n v="2132"/>
    <n v="11539"/>
    <n v="4"/>
    <s v="Y"/>
    <x v="0"/>
    <n v="11"/>
    <n v="3"/>
    <n v="2"/>
    <n v="80"/>
    <n v="0"/>
    <n v="7"/>
    <n v="2"/>
    <n v="3"/>
    <n v="5"/>
    <n v="2"/>
    <n v="0"/>
    <n v="1"/>
  </r>
  <r>
    <x v="24"/>
    <x v="1"/>
    <x v="0"/>
    <n v="939"/>
    <x v="1"/>
    <n v="24"/>
    <n v="3"/>
    <x v="0"/>
    <x v="0"/>
    <x v="721"/>
    <n v="4"/>
    <x v="1"/>
    <n v="95"/>
    <n v="3"/>
    <n v="4"/>
    <x v="3"/>
    <n v="3"/>
    <x v="1"/>
    <n v="13973"/>
    <n v="4161"/>
    <n v="3"/>
    <s v="Y"/>
    <x v="0"/>
    <n v="18"/>
    <n v="3"/>
    <n v="4"/>
    <n v="80"/>
    <n v="1"/>
    <n v="22"/>
    <n v="2"/>
    <n v="3"/>
    <n v="12"/>
    <n v="11"/>
    <n v="1"/>
    <n v="5"/>
  </r>
  <r>
    <x v="8"/>
    <x v="1"/>
    <x v="1"/>
    <n v="1391"/>
    <x v="1"/>
    <n v="10"/>
    <n v="1"/>
    <x v="2"/>
    <x v="0"/>
    <x v="722"/>
    <n v="3"/>
    <x v="1"/>
    <n v="66"/>
    <n v="3"/>
    <n v="1"/>
    <x v="1"/>
    <n v="3"/>
    <x v="1"/>
    <n v="2684"/>
    <n v="12127"/>
    <n v="0"/>
    <s v="Y"/>
    <x v="1"/>
    <n v="17"/>
    <n v="3"/>
    <n v="2"/>
    <n v="80"/>
    <n v="1"/>
    <n v="3"/>
    <n v="0"/>
    <n v="2"/>
    <n v="2"/>
    <n v="1"/>
    <n v="0"/>
    <n v="2"/>
  </r>
  <r>
    <x v="21"/>
    <x v="1"/>
    <x v="0"/>
    <n v="566"/>
    <x v="1"/>
    <n v="7"/>
    <n v="2"/>
    <x v="2"/>
    <x v="0"/>
    <x v="723"/>
    <n v="4"/>
    <x v="1"/>
    <n v="75"/>
    <n v="3"/>
    <n v="3"/>
    <x v="3"/>
    <n v="3"/>
    <x v="2"/>
    <n v="10845"/>
    <n v="24208"/>
    <n v="6"/>
    <s v="Y"/>
    <x v="1"/>
    <n v="13"/>
    <n v="3"/>
    <n v="2"/>
    <n v="80"/>
    <n v="1"/>
    <n v="13"/>
    <n v="3"/>
    <n v="3"/>
    <n v="8"/>
    <n v="7"/>
    <n v="0"/>
    <n v="7"/>
  </r>
  <r>
    <x v="17"/>
    <x v="1"/>
    <x v="0"/>
    <n v="1206"/>
    <x v="1"/>
    <n v="17"/>
    <n v="1"/>
    <x v="2"/>
    <x v="0"/>
    <x v="724"/>
    <n v="4"/>
    <x v="0"/>
    <n v="41"/>
    <n v="2"/>
    <n v="2"/>
    <x v="3"/>
    <n v="3"/>
    <x v="2"/>
    <n v="4377"/>
    <n v="24117"/>
    <n v="1"/>
    <s v="Y"/>
    <x v="1"/>
    <n v="15"/>
    <n v="3"/>
    <n v="2"/>
    <n v="80"/>
    <n v="2"/>
    <n v="5"/>
    <n v="6"/>
    <n v="3"/>
    <n v="4"/>
    <n v="2"/>
    <n v="3"/>
    <n v="2"/>
  </r>
  <r>
    <x v="10"/>
    <x v="0"/>
    <x v="0"/>
    <n v="622"/>
    <x v="1"/>
    <n v="14"/>
    <n v="4"/>
    <x v="1"/>
    <x v="0"/>
    <x v="725"/>
    <n v="3"/>
    <x v="1"/>
    <n v="39"/>
    <n v="2"/>
    <n v="1"/>
    <x v="2"/>
    <n v="2"/>
    <x v="2"/>
    <n v="3743"/>
    <n v="10074"/>
    <n v="1"/>
    <s v="Y"/>
    <x v="0"/>
    <n v="24"/>
    <n v="4"/>
    <n v="4"/>
    <n v="80"/>
    <n v="1"/>
    <n v="5"/>
    <n v="2"/>
    <n v="1"/>
    <n v="4"/>
    <n v="2"/>
    <n v="0"/>
    <n v="2"/>
  </r>
  <r>
    <x v="12"/>
    <x v="1"/>
    <x v="1"/>
    <n v="853"/>
    <x v="1"/>
    <n v="1"/>
    <n v="1"/>
    <x v="0"/>
    <x v="0"/>
    <x v="726"/>
    <n v="3"/>
    <x v="0"/>
    <n v="96"/>
    <n v="3"/>
    <n v="2"/>
    <x v="3"/>
    <n v="1"/>
    <x v="1"/>
    <n v="4148"/>
    <n v="11275"/>
    <n v="1"/>
    <s v="Y"/>
    <x v="1"/>
    <n v="12"/>
    <n v="3"/>
    <n v="3"/>
    <n v="80"/>
    <n v="1"/>
    <n v="4"/>
    <n v="1"/>
    <n v="3"/>
    <n v="4"/>
    <n v="3"/>
    <n v="0"/>
    <n v="3"/>
  </r>
  <r>
    <x v="41"/>
    <x v="1"/>
    <x v="2"/>
    <n v="287"/>
    <x v="1"/>
    <n v="5"/>
    <n v="2"/>
    <x v="0"/>
    <x v="0"/>
    <x v="727"/>
    <n v="2"/>
    <x v="1"/>
    <n v="73"/>
    <n v="3"/>
    <n v="1"/>
    <x v="1"/>
    <n v="4"/>
    <x v="0"/>
    <n v="1051"/>
    <n v="13493"/>
    <n v="1"/>
    <s v="Y"/>
    <x v="1"/>
    <n v="15"/>
    <n v="3"/>
    <n v="4"/>
    <n v="80"/>
    <n v="0"/>
    <n v="0"/>
    <n v="2"/>
    <n v="3"/>
    <n v="0"/>
    <n v="0"/>
    <n v="0"/>
    <n v="0"/>
  </r>
  <r>
    <x v="33"/>
    <x v="1"/>
    <x v="0"/>
    <n v="1441"/>
    <x v="1"/>
    <n v="17"/>
    <n v="3"/>
    <x v="4"/>
    <x v="0"/>
    <x v="728"/>
    <n v="3"/>
    <x v="0"/>
    <n v="56"/>
    <n v="3"/>
    <n v="3"/>
    <x v="3"/>
    <n v="3"/>
    <x v="1"/>
    <n v="10739"/>
    <n v="13943"/>
    <n v="8"/>
    <s v="Y"/>
    <x v="1"/>
    <n v="11"/>
    <n v="3"/>
    <n v="3"/>
    <n v="80"/>
    <n v="1"/>
    <n v="22"/>
    <n v="2"/>
    <n v="3"/>
    <n v="10"/>
    <n v="7"/>
    <n v="0"/>
    <n v="8"/>
  </r>
  <r>
    <x v="10"/>
    <x v="1"/>
    <x v="0"/>
    <n v="583"/>
    <x v="1"/>
    <n v="25"/>
    <n v="4"/>
    <x v="2"/>
    <x v="0"/>
    <x v="729"/>
    <n v="3"/>
    <x v="0"/>
    <n v="57"/>
    <n v="3"/>
    <n v="3"/>
    <x v="4"/>
    <n v="3"/>
    <x v="2"/>
    <n v="10388"/>
    <n v="6975"/>
    <n v="1"/>
    <s v="Y"/>
    <x v="0"/>
    <n v="11"/>
    <n v="3"/>
    <n v="3"/>
    <n v="80"/>
    <n v="1"/>
    <n v="16"/>
    <n v="3"/>
    <n v="2"/>
    <n v="16"/>
    <n v="10"/>
    <n v="10"/>
    <n v="1"/>
  </r>
  <r>
    <x v="7"/>
    <x v="1"/>
    <x v="0"/>
    <n v="153"/>
    <x v="1"/>
    <n v="8"/>
    <n v="2"/>
    <x v="0"/>
    <x v="0"/>
    <x v="730"/>
    <n v="2"/>
    <x v="0"/>
    <n v="73"/>
    <n v="4"/>
    <n v="3"/>
    <x v="7"/>
    <n v="1"/>
    <x v="1"/>
    <n v="11416"/>
    <n v="17802"/>
    <n v="0"/>
    <s v="Y"/>
    <x v="0"/>
    <n v="12"/>
    <n v="3"/>
    <n v="3"/>
    <n v="80"/>
    <n v="3"/>
    <n v="9"/>
    <n v="4"/>
    <n v="2"/>
    <n v="8"/>
    <n v="7"/>
    <n v="1"/>
    <n v="7"/>
  </r>
  <r>
    <x v="35"/>
    <x v="0"/>
    <x v="0"/>
    <n v="1097"/>
    <x v="1"/>
    <n v="11"/>
    <n v="3"/>
    <x v="2"/>
    <x v="0"/>
    <x v="731"/>
    <n v="4"/>
    <x v="0"/>
    <n v="98"/>
    <n v="2"/>
    <n v="1"/>
    <x v="1"/>
    <n v="1"/>
    <x v="0"/>
    <n v="2600"/>
    <n v="18275"/>
    <n v="1"/>
    <s v="Y"/>
    <x v="0"/>
    <n v="15"/>
    <n v="3"/>
    <n v="1"/>
    <n v="80"/>
    <n v="0"/>
    <n v="1"/>
    <n v="2"/>
    <n v="3"/>
    <n v="1"/>
    <n v="0"/>
    <n v="0"/>
    <n v="0"/>
  </r>
  <r>
    <x v="7"/>
    <x v="0"/>
    <x v="1"/>
    <n v="109"/>
    <x v="1"/>
    <n v="5"/>
    <n v="3"/>
    <x v="2"/>
    <x v="0"/>
    <x v="732"/>
    <n v="2"/>
    <x v="0"/>
    <n v="60"/>
    <n v="3"/>
    <n v="1"/>
    <x v="2"/>
    <n v="2"/>
    <x v="0"/>
    <n v="2422"/>
    <n v="25725"/>
    <n v="0"/>
    <s v="Y"/>
    <x v="1"/>
    <n v="17"/>
    <n v="3"/>
    <n v="1"/>
    <n v="80"/>
    <n v="0"/>
    <n v="4"/>
    <n v="3"/>
    <n v="3"/>
    <n v="3"/>
    <n v="2"/>
    <n v="1"/>
    <n v="2"/>
  </r>
  <r>
    <x v="25"/>
    <x v="1"/>
    <x v="0"/>
    <n v="1066"/>
    <x v="1"/>
    <n v="2"/>
    <n v="2"/>
    <x v="2"/>
    <x v="0"/>
    <x v="733"/>
    <n v="4"/>
    <x v="1"/>
    <n v="32"/>
    <n v="4"/>
    <n v="2"/>
    <x v="3"/>
    <n v="4"/>
    <x v="1"/>
    <n v="5472"/>
    <n v="3334"/>
    <n v="1"/>
    <s v="Y"/>
    <x v="1"/>
    <n v="12"/>
    <n v="3"/>
    <n v="2"/>
    <n v="80"/>
    <n v="0"/>
    <n v="8"/>
    <n v="2"/>
    <n v="3"/>
    <n v="8"/>
    <n v="7"/>
    <n v="1"/>
    <n v="3"/>
  </r>
  <r>
    <x v="15"/>
    <x v="1"/>
    <x v="0"/>
    <n v="217"/>
    <x v="1"/>
    <n v="8"/>
    <n v="1"/>
    <x v="0"/>
    <x v="0"/>
    <x v="734"/>
    <n v="2"/>
    <x v="1"/>
    <n v="94"/>
    <n v="1"/>
    <n v="1"/>
    <x v="2"/>
    <n v="1"/>
    <x v="1"/>
    <n v="2451"/>
    <n v="6881"/>
    <n v="1"/>
    <s v="Y"/>
    <x v="1"/>
    <n v="15"/>
    <n v="3"/>
    <n v="1"/>
    <n v="80"/>
    <n v="1"/>
    <n v="4"/>
    <n v="3"/>
    <n v="2"/>
    <n v="4"/>
    <n v="3"/>
    <n v="1"/>
    <n v="1"/>
  </r>
  <r>
    <x v="26"/>
    <x v="1"/>
    <x v="0"/>
    <n v="277"/>
    <x v="1"/>
    <n v="6"/>
    <n v="3"/>
    <x v="0"/>
    <x v="0"/>
    <x v="735"/>
    <n v="1"/>
    <x v="1"/>
    <n v="97"/>
    <n v="2"/>
    <n v="2"/>
    <x v="4"/>
    <n v="3"/>
    <x v="0"/>
    <n v="4240"/>
    <n v="13119"/>
    <n v="2"/>
    <s v="Y"/>
    <x v="1"/>
    <n v="13"/>
    <n v="3"/>
    <n v="4"/>
    <n v="80"/>
    <n v="0"/>
    <n v="19"/>
    <n v="0"/>
    <n v="3"/>
    <n v="2"/>
    <n v="2"/>
    <n v="2"/>
    <n v="2"/>
  </r>
  <r>
    <x v="26"/>
    <x v="1"/>
    <x v="0"/>
    <n v="1355"/>
    <x v="1"/>
    <n v="4"/>
    <n v="4"/>
    <x v="0"/>
    <x v="0"/>
    <x v="736"/>
    <n v="3"/>
    <x v="1"/>
    <n v="78"/>
    <n v="2"/>
    <n v="3"/>
    <x v="4"/>
    <n v="3"/>
    <x v="0"/>
    <n v="10999"/>
    <n v="22245"/>
    <n v="7"/>
    <s v="Y"/>
    <x v="1"/>
    <n v="14"/>
    <n v="3"/>
    <n v="2"/>
    <n v="80"/>
    <n v="0"/>
    <n v="27"/>
    <n v="3"/>
    <n v="3"/>
    <n v="15"/>
    <n v="11"/>
    <n v="4"/>
    <n v="8"/>
  </r>
  <r>
    <x v="0"/>
    <x v="1"/>
    <x v="0"/>
    <n v="549"/>
    <x v="1"/>
    <n v="7"/>
    <n v="2"/>
    <x v="2"/>
    <x v="0"/>
    <x v="737"/>
    <n v="4"/>
    <x v="0"/>
    <n v="42"/>
    <n v="3"/>
    <n v="2"/>
    <x v="3"/>
    <n v="3"/>
    <x v="0"/>
    <n v="5003"/>
    <n v="23371"/>
    <n v="6"/>
    <s v="Y"/>
    <x v="1"/>
    <n v="14"/>
    <n v="3"/>
    <n v="2"/>
    <n v="80"/>
    <n v="0"/>
    <n v="8"/>
    <n v="6"/>
    <n v="3"/>
    <n v="2"/>
    <n v="2"/>
    <n v="2"/>
    <n v="1"/>
  </r>
  <r>
    <x v="22"/>
    <x v="1"/>
    <x v="0"/>
    <n v="466"/>
    <x v="1"/>
    <n v="1"/>
    <n v="1"/>
    <x v="0"/>
    <x v="0"/>
    <x v="738"/>
    <n v="4"/>
    <x v="0"/>
    <n v="65"/>
    <n v="2"/>
    <n v="4"/>
    <x v="3"/>
    <n v="4"/>
    <x v="1"/>
    <n v="12742"/>
    <n v="7060"/>
    <n v="1"/>
    <s v="Y"/>
    <x v="1"/>
    <n v="16"/>
    <n v="3"/>
    <n v="3"/>
    <n v="80"/>
    <n v="1"/>
    <n v="21"/>
    <n v="3"/>
    <n v="3"/>
    <n v="21"/>
    <n v="6"/>
    <n v="11"/>
    <n v="8"/>
  </r>
  <r>
    <x v="4"/>
    <x v="1"/>
    <x v="0"/>
    <n v="1055"/>
    <x v="1"/>
    <n v="2"/>
    <n v="4"/>
    <x v="0"/>
    <x v="0"/>
    <x v="739"/>
    <n v="1"/>
    <x v="0"/>
    <n v="47"/>
    <n v="3"/>
    <n v="2"/>
    <x v="3"/>
    <n v="4"/>
    <x v="1"/>
    <n v="4227"/>
    <n v="4658"/>
    <n v="0"/>
    <s v="Y"/>
    <x v="1"/>
    <n v="18"/>
    <n v="3"/>
    <n v="2"/>
    <n v="80"/>
    <n v="1"/>
    <n v="4"/>
    <n v="2"/>
    <n v="3"/>
    <n v="3"/>
    <n v="2"/>
    <n v="2"/>
    <n v="2"/>
  </r>
  <r>
    <x v="10"/>
    <x v="1"/>
    <x v="0"/>
    <n v="802"/>
    <x v="1"/>
    <n v="10"/>
    <n v="3"/>
    <x v="1"/>
    <x v="0"/>
    <x v="740"/>
    <n v="2"/>
    <x v="1"/>
    <n v="45"/>
    <n v="3"/>
    <n v="1"/>
    <x v="2"/>
    <n v="4"/>
    <x v="2"/>
    <n v="3917"/>
    <n v="9541"/>
    <n v="1"/>
    <s v="Y"/>
    <x v="1"/>
    <n v="20"/>
    <n v="4"/>
    <n v="1"/>
    <n v="80"/>
    <n v="1"/>
    <n v="3"/>
    <n v="4"/>
    <n v="2"/>
    <n v="3"/>
    <n v="2"/>
    <n v="1"/>
    <n v="2"/>
  </r>
  <r>
    <x v="19"/>
    <x v="1"/>
    <x v="0"/>
    <n v="265"/>
    <x v="0"/>
    <n v="5"/>
    <n v="2"/>
    <x v="3"/>
    <x v="0"/>
    <x v="741"/>
    <n v="4"/>
    <x v="1"/>
    <n v="90"/>
    <n v="3"/>
    <n v="5"/>
    <x v="5"/>
    <n v="3"/>
    <x v="1"/>
    <n v="18303"/>
    <n v="7770"/>
    <n v="6"/>
    <s v="Y"/>
    <x v="1"/>
    <n v="13"/>
    <n v="3"/>
    <n v="2"/>
    <n v="80"/>
    <n v="0"/>
    <n v="21"/>
    <n v="3"/>
    <n v="4"/>
    <n v="1"/>
    <n v="0"/>
    <n v="0"/>
    <n v="0"/>
  </r>
  <r>
    <x v="24"/>
    <x v="1"/>
    <x v="0"/>
    <n v="804"/>
    <x v="1"/>
    <n v="9"/>
    <n v="3"/>
    <x v="0"/>
    <x v="0"/>
    <x v="742"/>
    <n v="1"/>
    <x v="1"/>
    <n v="64"/>
    <n v="3"/>
    <n v="1"/>
    <x v="2"/>
    <n v="4"/>
    <x v="1"/>
    <n v="2380"/>
    <n v="20165"/>
    <n v="4"/>
    <s v="Y"/>
    <x v="1"/>
    <n v="18"/>
    <n v="3"/>
    <n v="2"/>
    <n v="80"/>
    <n v="0"/>
    <n v="8"/>
    <n v="5"/>
    <n v="3"/>
    <n v="1"/>
    <n v="0"/>
    <n v="0"/>
    <n v="0"/>
  </r>
  <r>
    <x v="6"/>
    <x v="1"/>
    <x v="0"/>
    <n v="715"/>
    <x v="1"/>
    <n v="2"/>
    <n v="3"/>
    <x v="0"/>
    <x v="0"/>
    <x v="743"/>
    <n v="3"/>
    <x v="0"/>
    <n v="69"/>
    <n v="2"/>
    <n v="4"/>
    <x v="3"/>
    <n v="4"/>
    <x v="0"/>
    <n v="13726"/>
    <n v="21829"/>
    <n v="3"/>
    <s v="Y"/>
    <x v="0"/>
    <n v="13"/>
    <n v="3"/>
    <n v="1"/>
    <n v="80"/>
    <n v="0"/>
    <n v="30"/>
    <n v="4"/>
    <n v="3"/>
    <n v="5"/>
    <n v="3"/>
    <n v="4"/>
    <n v="3"/>
  </r>
  <r>
    <x v="2"/>
    <x v="0"/>
    <x v="0"/>
    <n v="1141"/>
    <x v="1"/>
    <n v="11"/>
    <n v="2"/>
    <x v="2"/>
    <x v="0"/>
    <x v="744"/>
    <n v="1"/>
    <x v="0"/>
    <n v="61"/>
    <n v="1"/>
    <n v="2"/>
    <x v="4"/>
    <n v="2"/>
    <x v="1"/>
    <n v="4777"/>
    <n v="14382"/>
    <n v="5"/>
    <s v="Y"/>
    <x v="1"/>
    <n v="15"/>
    <n v="3"/>
    <n v="1"/>
    <n v="80"/>
    <n v="0"/>
    <n v="15"/>
    <n v="2"/>
    <n v="1"/>
    <n v="1"/>
    <n v="0"/>
    <n v="0"/>
    <n v="0"/>
  </r>
  <r>
    <x v="27"/>
    <x v="1"/>
    <x v="1"/>
    <n v="135"/>
    <x v="1"/>
    <n v="18"/>
    <n v="4"/>
    <x v="2"/>
    <x v="0"/>
    <x v="745"/>
    <n v="3"/>
    <x v="1"/>
    <n v="62"/>
    <n v="3"/>
    <n v="2"/>
    <x v="4"/>
    <n v="2"/>
    <x v="1"/>
    <n v="6385"/>
    <n v="12992"/>
    <n v="3"/>
    <s v="Y"/>
    <x v="0"/>
    <n v="14"/>
    <n v="3"/>
    <n v="4"/>
    <n v="80"/>
    <n v="2"/>
    <n v="17"/>
    <n v="3"/>
    <n v="3"/>
    <n v="8"/>
    <n v="7"/>
    <n v="6"/>
    <n v="7"/>
  </r>
  <r>
    <x v="0"/>
    <x v="1"/>
    <x v="2"/>
    <n v="247"/>
    <x v="1"/>
    <n v="7"/>
    <n v="1"/>
    <x v="0"/>
    <x v="0"/>
    <x v="746"/>
    <n v="2"/>
    <x v="0"/>
    <n v="55"/>
    <n v="1"/>
    <n v="5"/>
    <x v="7"/>
    <n v="3"/>
    <x v="2"/>
    <n v="19973"/>
    <n v="20284"/>
    <n v="1"/>
    <s v="Y"/>
    <x v="1"/>
    <n v="22"/>
    <n v="4"/>
    <n v="2"/>
    <n v="80"/>
    <n v="2"/>
    <n v="21"/>
    <n v="3"/>
    <n v="3"/>
    <n v="21"/>
    <n v="16"/>
    <n v="5"/>
    <n v="10"/>
  </r>
  <r>
    <x v="8"/>
    <x v="1"/>
    <x v="0"/>
    <n v="1035"/>
    <x v="0"/>
    <n v="3"/>
    <n v="4"/>
    <x v="0"/>
    <x v="0"/>
    <x v="747"/>
    <n v="2"/>
    <x v="1"/>
    <n v="42"/>
    <n v="3"/>
    <n v="2"/>
    <x v="0"/>
    <n v="4"/>
    <x v="0"/>
    <n v="6861"/>
    <n v="4981"/>
    <n v="8"/>
    <s v="Y"/>
    <x v="0"/>
    <n v="12"/>
    <n v="3"/>
    <n v="3"/>
    <n v="80"/>
    <n v="0"/>
    <n v="19"/>
    <n v="1"/>
    <n v="3"/>
    <n v="1"/>
    <n v="0"/>
    <n v="0"/>
    <n v="0"/>
  </r>
  <r>
    <x v="25"/>
    <x v="0"/>
    <x v="2"/>
    <n v="265"/>
    <x v="0"/>
    <n v="29"/>
    <n v="2"/>
    <x v="2"/>
    <x v="0"/>
    <x v="748"/>
    <n v="2"/>
    <x v="1"/>
    <n v="79"/>
    <n v="1"/>
    <n v="2"/>
    <x v="0"/>
    <n v="1"/>
    <x v="0"/>
    <n v="4969"/>
    <n v="21813"/>
    <n v="8"/>
    <s v="Y"/>
    <x v="1"/>
    <n v="18"/>
    <n v="3"/>
    <n v="4"/>
    <n v="80"/>
    <n v="0"/>
    <n v="7"/>
    <n v="6"/>
    <n v="3"/>
    <n v="2"/>
    <n v="2"/>
    <n v="2"/>
    <n v="2"/>
  </r>
  <r>
    <x v="39"/>
    <x v="0"/>
    <x v="0"/>
    <n v="266"/>
    <x v="0"/>
    <n v="2"/>
    <n v="1"/>
    <x v="3"/>
    <x v="0"/>
    <x v="749"/>
    <n v="1"/>
    <x v="0"/>
    <n v="57"/>
    <n v="1"/>
    <n v="5"/>
    <x v="5"/>
    <n v="4"/>
    <x v="1"/>
    <n v="19845"/>
    <n v="25846"/>
    <n v="1"/>
    <s v="Y"/>
    <x v="1"/>
    <n v="15"/>
    <n v="3"/>
    <n v="4"/>
    <n v="80"/>
    <n v="1"/>
    <n v="33"/>
    <n v="3"/>
    <n v="3"/>
    <n v="32"/>
    <n v="14"/>
    <n v="6"/>
    <n v="9"/>
  </r>
  <r>
    <x v="20"/>
    <x v="1"/>
    <x v="0"/>
    <n v="1448"/>
    <x v="0"/>
    <n v="28"/>
    <n v="3"/>
    <x v="2"/>
    <x v="0"/>
    <x v="750"/>
    <n v="4"/>
    <x v="0"/>
    <n v="53"/>
    <n v="4"/>
    <n v="4"/>
    <x v="0"/>
    <n v="4"/>
    <x v="1"/>
    <n v="13320"/>
    <n v="11737"/>
    <n v="3"/>
    <s v="Y"/>
    <x v="0"/>
    <n v="18"/>
    <n v="3"/>
    <n v="3"/>
    <n v="80"/>
    <n v="1"/>
    <n v="23"/>
    <n v="2"/>
    <n v="3"/>
    <n v="12"/>
    <n v="11"/>
    <n v="11"/>
    <n v="11"/>
  </r>
  <r>
    <x v="24"/>
    <x v="1"/>
    <x v="2"/>
    <n v="145"/>
    <x v="0"/>
    <n v="1"/>
    <n v="3"/>
    <x v="0"/>
    <x v="0"/>
    <x v="751"/>
    <n v="4"/>
    <x v="0"/>
    <n v="95"/>
    <n v="3"/>
    <n v="2"/>
    <x v="0"/>
    <n v="3"/>
    <x v="1"/>
    <n v="6347"/>
    <n v="24920"/>
    <n v="0"/>
    <s v="Y"/>
    <x v="1"/>
    <n v="12"/>
    <n v="3"/>
    <n v="1"/>
    <n v="80"/>
    <n v="1"/>
    <n v="19"/>
    <n v="3"/>
    <n v="3"/>
    <n v="18"/>
    <n v="7"/>
    <n v="0"/>
    <n v="13"/>
  </r>
  <r>
    <x v="9"/>
    <x v="0"/>
    <x v="0"/>
    <n v="885"/>
    <x v="1"/>
    <n v="16"/>
    <n v="4"/>
    <x v="0"/>
    <x v="0"/>
    <x v="752"/>
    <n v="3"/>
    <x v="0"/>
    <n v="43"/>
    <n v="4"/>
    <n v="1"/>
    <x v="2"/>
    <n v="1"/>
    <x v="0"/>
    <n v="2743"/>
    <n v="8269"/>
    <n v="1"/>
    <s v="Y"/>
    <x v="1"/>
    <n v="16"/>
    <n v="3"/>
    <n v="3"/>
    <n v="80"/>
    <n v="0"/>
    <n v="18"/>
    <n v="1"/>
    <n v="3"/>
    <n v="17"/>
    <n v="13"/>
    <n v="15"/>
    <n v="14"/>
  </r>
  <r>
    <x v="22"/>
    <x v="1"/>
    <x v="1"/>
    <n v="945"/>
    <x v="1"/>
    <n v="22"/>
    <n v="3"/>
    <x v="2"/>
    <x v="0"/>
    <x v="753"/>
    <n v="4"/>
    <x v="0"/>
    <n v="82"/>
    <n v="3"/>
    <n v="3"/>
    <x v="3"/>
    <n v="1"/>
    <x v="0"/>
    <n v="10880"/>
    <n v="5083"/>
    <n v="1"/>
    <s v="Y"/>
    <x v="0"/>
    <n v="13"/>
    <n v="3"/>
    <n v="3"/>
    <n v="80"/>
    <n v="0"/>
    <n v="21"/>
    <n v="2"/>
    <n v="3"/>
    <n v="21"/>
    <n v="6"/>
    <n v="2"/>
    <n v="8"/>
  </r>
  <r>
    <x v="3"/>
    <x v="1"/>
    <x v="2"/>
    <n v="1038"/>
    <x v="0"/>
    <n v="8"/>
    <n v="1"/>
    <x v="0"/>
    <x v="0"/>
    <x v="754"/>
    <n v="2"/>
    <x v="0"/>
    <n v="88"/>
    <n v="2"/>
    <n v="1"/>
    <x v="6"/>
    <n v="4"/>
    <x v="0"/>
    <n v="2342"/>
    <n v="21437"/>
    <n v="0"/>
    <s v="Y"/>
    <x v="1"/>
    <n v="19"/>
    <n v="3"/>
    <n v="4"/>
    <n v="80"/>
    <n v="0"/>
    <n v="3"/>
    <n v="2"/>
    <n v="2"/>
    <n v="2"/>
    <n v="2"/>
    <n v="2"/>
    <n v="2"/>
  </r>
  <r>
    <x v="28"/>
    <x v="1"/>
    <x v="0"/>
    <n v="1234"/>
    <x v="0"/>
    <n v="11"/>
    <n v="2"/>
    <x v="0"/>
    <x v="0"/>
    <x v="755"/>
    <n v="4"/>
    <x v="0"/>
    <n v="90"/>
    <n v="3"/>
    <n v="4"/>
    <x v="5"/>
    <n v="4"/>
    <x v="1"/>
    <n v="17650"/>
    <n v="5404"/>
    <n v="3"/>
    <s v="Y"/>
    <x v="1"/>
    <n v="13"/>
    <n v="3"/>
    <n v="2"/>
    <n v="80"/>
    <n v="1"/>
    <n v="26"/>
    <n v="4"/>
    <n v="4"/>
    <n v="9"/>
    <n v="3"/>
    <n v="1"/>
    <n v="1"/>
  </r>
  <r>
    <x v="5"/>
    <x v="1"/>
    <x v="2"/>
    <n v="1109"/>
    <x v="1"/>
    <n v="29"/>
    <n v="4"/>
    <x v="2"/>
    <x v="0"/>
    <x v="756"/>
    <n v="4"/>
    <x v="0"/>
    <n v="69"/>
    <n v="3"/>
    <n v="1"/>
    <x v="2"/>
    <n v="3"/>
    <x v="0"/>
    <n v="4025"/>
    <n v="11135"/>
    <n v="9"/>
    <s v="Y"/>
    <x v="1"/>
    <n v="12"/>
    <n v="3"/>
    <n v="2"/>
    <n v="80"/>
    <n v="0"/>
    <n v="10"/>
    <n v="2"/>
    <n v="3"/>
    <n v="8"/>
    <n v="7"/>
    <n v="7"/>
    <n v="7"/>
  </r>
  <r>
    <x v="13"/>
    <x v="1"/>
    <x v="0"/>
    <n v="216"/>
    <x v="0"/>
    <n v="1"/>
    <n v="4"/>
    <x v="3"/>
    <x v="0"/>
    <x v="757"/>
    <n v="2"/>
    <x v="1"/>
    <n v="75"/>
    <n v="4"/>
    <n v="2"/>
    <x v="0"/>
    <n v="4"/>
    <x v="2"/>
    <n v="9725"/>
    <n v="12278"/>
    <n v="0"/>
    <s v="Y"/>
    <x v="1"/>
    <n v="11"/>
    <n v="3"/>
    <n v="4"/>
    <n v="80"/>
    <n v="1"/>
    <n v="16"/>
    <n v="2"/>
    <n v="2"/>
    <n v="15"/>
    <n v="1"/>
    <n v="0"/>
    <n v="9"/>
  </r>
  <r>
    <x v="6"/>
    <x v="1"/>
    <x v="0"/>
    <n v="1089"/>
    <x v="0"/>
    <n v="1"/>
    <n v="2"/>
    <x v="4"/>
    <x v="0"/>
    <x v="758"/>
    <n v="2"/>
    <x v="1"/>
    <n v="66"/>
    <n v="3"/>
    <n v="3"/>
    <x v="5"/>
    <n v="4"/>
    <x v="1"/>
    <n v="11904"/>
    <n v="11038"/>
    <n v="3"/>
    <s v="Y"/>
    <x v="0"/>
    <n v="14"/>
    <n v="3"/>
    <n v="3"/>
    <n v="80"/>
    <n v="1"/>
    <n v="14"/>
    <n v="1"/>
    <n v="1"/>
    <n v="6"/>
    <n v="4"/>
    <n v="0"/>
    <n v="4"/>
  </r>
  <r>
    <x v="28"/>
    <x v="1"/>
    <x v="0"/>
    <n v="788"/>
    <x v="2"/>
    <n v="24"/>
    <n v="4"/>
    <x v="2"/>
    <x v="0"/>
    <x v="759"/>
    <n v="2"/>
    <x v="1"/>
    <n v="36"/>
    <n v="3"/>
    <n v="1"/>
    <x v="8"/>
    <n v="2"/>
    <x v="0"/>
    <n v="2177"/>
    <n v="8318"/>
    <n v="1"/>
    <s v="Y"/>
    <x v="1"/>
    <n v="16"/>
    <n v="3"/>
    <n v="1"/>
    <n v="80"/>
    <n v="0"/>
    <n v="6"/>
    <n v="3"/>
    <n v="3"/>
    <n v="6"/>
    <n v="3"/>
    <n v="0"/>
    <n v="4"/>
  </r>
  <r>
    <x v="16"/>
    <x v="1"/>
    <x v="1"/>
    <n v="124"/>
    <x v="0"/>
    <n v="2"/>
    <n v="3"/>
    <x v="3"/>
    <x v="0"/>
    <x v="760"/>
    <n v="3"/>
    <x v="0"/>
    <n v="38"/>
    <n v="2"/>
    <n v="3"/>
    <x v="0"/>
    <n v="2"/>
    <x v="1"/>
    <n v="7525"/>
    <n v="23537"/>
    <n v="2"/>
    <s v="Y"/>
    <x v="1"/>
    <n v="12"/>
    <n v="3"/>
    <n v="1"/>
    <n v="80"/>
    <n v="1"/>
    <n v="30"/>
    <n v="2"/>
    <n v="3"/>
    <n v="15"/>
    <n v="7"/>
    <n v="6"/>
    <n v="12"/>
  </r>
  <r>
    <x v="9"/>
    <x v="0"/>
    <x v="0"/>
    <n v="660"/>
    <x v="1"/>
    <n v="15"/>
    <n v="3"/>
    <x v="1"/>
    <x v="0"/>
    <x v="761"/>
    <n v="1"/>
    <x v="1"/>
    <n v="81"/>
    <n v="3"/>
    <n v="2"/>
    <x v="2"/>
    <n v="3"/>
    <x v="2"/>
    <n v="4834"/>
    <n v="7858"/>
    <n v="7"/>
    <s v="Y"/>
    <x v="1"/>
    <n v="14"/>
    <n v="3"/>
    <n v="2"/>
    <n v="80"/>
    <n v="1"/>
    <n v="9"/>
    <n v="3"/>
    <n v="2"/>
    <n v="1"/>
    <n v="0"/>
    <n v="0"/>
    <n v="0"/>
  </r>
  <r>
    <x v="25"/>
    <x v="0"/>
    <x v="1"/>
    <n v="342"/>
    <x v="1"/>
    <n v="2"/>
    <n v="3"/>
    <x v="0"/>
    <x v="0"/>
    <x v="762"/>
    <n v="1"/>
    <x v="1"/>
    <n v="57"/>
    <n v="3"/>
    <n v="1"/>
    <x v="1"/>
    <n v="1"/>
    <x v="1"/>
    <n v="2042"/>
    <n v="15346"/>
    <n v="6"/>
    <s v="Y"/>
    <x v="0"/>
    <n v="14"/>
    <n v="3"/>
    <n v="2"/>
    <n v="80"/>
    <n v="1"/>
    <n v="6"/>
    <n v="2"/>
    <n v="3"/>
    <n v="3"/>
    <n v="2"/>
    <n v="1"/>
    <n v="2"/>
  </r>
  <r>
    <x v="13"/>
    <x v="1"/>
    <x v="0"/>
    <n v="1333"/>
    <x v="0"/>
    <n v="10"/>
    <n v="4"/>
    <x v="0"/>
    <x v="0"/>
    <x v="763"/>
    <n v="3"/>
    <x v="0"/>
    <n v="87"/>
    <n v="3"/>
    <n v="1"/>
    <x v="6"/>
    <n v="3"/>
    <x v="1"/>
    <n v="2220"/>
    <n v="18410"/>
    <n v="1"/>
    <s v="Y"/>
    <x v="0"/>
    <n v="19"/>
    <n v="3"/>
    <n v="4"/>
    <n v="80"/>
    <n v="1"/>
    <n v="1"/>
    <n v="2"/>
    <n v="3"/>
    <n v="1"/>
    <n v="1"/>
    <n v="0"/>
    <n v="0"/>
  </r>
  <r>
    <x v="14"/>
    <x v="1"/>
    <x v="0"/>
    <n v="1144"/>
    <x v="0"/>
    <n v="10"/>
    <n v="1"/>
    <x v="2"/>
    <x v="0"/>
    <x v="764"/>
    <n v="4"/>
    <x v="1"/>
    <n v="74"/>
    <n v="3"/>
    <n v="1"/>
    <x v="6"/>
    <n v="2"/>
    <x v="1"/>
    <n v="1052"/>
    <n v="23384"/>
    <n v="1"/>
    <s v="Y"/>
    <x v="1"/>
    <n v="22"/>
    <n v="4"/>
    <n v="2"/>
    <n v="80"/>
    <n v="0"/>
    <n v="1"/>
    <n v="5"/>
    <n v="3"/>
    <n v="1"/>
    <n v="0"/>
    <n v="0"/>
    <n v="0"/>
  </r>
  <r>
    <x v="8"/>
    <x v="1"/>
    <x v="1"/>
    <n v="1186"/>
    <x v="1"/>
    <n v="3"/>
    <n v="4"/>
    <x v="1"/>
    <x v="0"/>
    <x v="765"/>
    <n v="3"/>
    <x v="1"/>
    <n v="44"/>
    <n v="3"/>
    <n v="1"/>
    <x v="1"/>
    <n v="3"/>
    <x v="1"/>
    <n v="2821"/>
    <n v="2997"/>
    <n v="3"/>
    <s v="Y"/>
    <x v="1"/>
    <n v="16"/>
    <n v="3"/>
    <n v="1"/>
    <n v="80"/>
    <n v="1"/>
    <n v="8"/>
    <n v="2"/>
    <n v="3"/>
    <n v="2"/>
    <n v="2"/>
    <n v="2"/>
    <n v="2"/>
  </r>
  <r>
    <x v="24"/>
    <x v="1"/>
    <x v="0"/>
    <n v="1464"/>
    <x v="1"/>
    <n v="2"/>
    <n v="4"/>
    <x v="2"/>
    <x v="0"/>
    <x v="766"/>
    <n v="2"/>
    <x v="1"/>
    <n v="62"/>
    <n v="3"/>
    <n v="5"/>
    <x v="7"/>
    <n v="3"/>
    <x v="1"/>
    <n v="19237"/>
    <n v="12853"/>
    <n v="2"/>
    <s v="Y"/>
    <x v="0"/>
    <n v="11"/>
    <n v="3"/>
    <n v="4"/>
    <n v="80"/>
    <n v="1"/>
    <n v="29"/>
    <n v="2"/>
    <n v="2"/>
    <n v="8"/>
    <n v="1"/>
    <n v="7"/>
    <n v="7"/>
  </r>
  <r>
    <x v="2"/>
    <x v="1"/>
    <x v="0"/>
    <n v="124"/>
    <x v="1"/>
    <n v="3"/>
    <n v="3"/>
    <x v="1"/>
    <x v="0"/>
    <x v="767"/>
    <n v="4"/>
    <x v="0"/>
    <n v="35"/>
    <n v="3"/>
    <n v="2"/>
    <x v="4"/>
    <n v="2"/>
    <x v="0"/>
    <n v="4107"/>
    <n v="13848"/>
    <n v="3"/>
    <s v="Y"/>
    <x v="1"/>
    <n v="15"/>
    <n v="3"/>
    <n v="1"/>
    <n v="80"/>
    <n v="0"/>
    <n v="8"/>
    <n v="3"/>
    <n v="2"/>
    <n v="4"/>
    <n v="3"/>
    <n v="0"/>
    <n v="1"/>
  </r>
  <r>
    <x v="32"/>
    <x v="1"/>
    <x v="0"/>
    <n v="300"/>
    <x v="0"/>
    <n v="26"/>
    <n v="3"/>
    <x v="3"/>
    <x v="0"/>
    <x v="768"/>
    <n v="3"/>
    <x v="1"/>
    <n v="74"/>
    <n v="3"/>
    <n v="2"/>
    <x v="0"/>
    <n v="1"/>
    <x v="1"/>
    <n v="8396"/>
    <n v="22217"/>
    <n v="1"/>
    <s v="Y"/>
    <x v="1"/>
    <n v="14"/>
    <n v="3"/>
    <n v="2"/>
    <n v="80"/>
    <n v="1"/>
    <n v="8"/>
    <n v="3"/>
    <n v="2"/>
    <n v="7"/>
    <n v="7"/>
    <n v="7"/>
    <n v="5"/>
  </r>
  <r>
    <x v="25"/>
    <x v="1"/>
    <x v="1"/>
    <n v="921"/>
    <x v="1"/>
    <n v="1"/>
    <n v="1"/>
    <x v="2"/>
    <x v="0"/>
    <x v="769"/>
    <n v="1"/>
    <x v="0"/>
    <n v="66"/>
    <n v="2"/>
    <n v="1"/>
    <x v="1"/>
    <n v="3"/>
    <x v="2"/>
    <n v="2007"/>
    <n v="25265"/>
    <n v="1"/>
    <s v="Y"/>
    <x v="1"/>
    <n v="13"/>
    <n v="3"/>
    <n v="3"/>
    <n v="80"/>
    <n v="2"/>
    <n v="5"/>
    <n v="5"/>
    <n v="3"/>
    <n v="5"/>
    <n v="3"/>
    <n v="1"/>
    <n v="3"/>
  </r>
  <r>
    <x v="21"/>
    <x v="1"/>
    <x v="0"/>
    <n v="430"/>
    <x v="1"/>
    <n v="1"/>
    <n v="4"/>
    <x v="2"/>
    <x v="0"/>
    <x v="770"/>
    <n v="4"/>
    <x v="1"/>
    <n v="40"/>
    <n v="3"/>
    <n v="5"/>
    <x v="7"/>
    <n v="4"/>
    <x v="2"/>
    <n v="19627"/>
    <n v="21445"/>
    <n v="9"/>
    <s v="Y"/>
    <x v="1"/>
    <n v="17"/>
    <n v="3"/>
    <n v="4"/>
    <n v="80"/>
    <n v="2"/>
    <n v="23"/>
    <n v="0"/>
    <n v="3"/>
    <n v="2"/>
    <n v="2"/>
    <n v="2"/>
    <n v="2"/>
  </r>
  <r>
    <x v="33"/>
    <x v="1"/>
    <x v="0"/>
    <n v="1082"/>
    <x v="0"/>
    <n v="2"/>
    <n v="4"/>
    <x v="0"/>
    <x v="0"/>
    <x v="771"/>
    <n v="3"/>
    <x v="0"/>
    <n v="41"/>
    <n v="2"/>
    <n v="3"/>
    <x v="0"/>
    <n v="3"/>
    <x v="1"/>
    <n v="10686"/>
    <n v="8392"/>
    <n v="6"/>
    <s v="Y"/>
    <x v="1"/>
    <n v="11"/>
    <n v="3"/>
    <n v="2"/>
    <n v="80"/>
    <n v="1"/>
    <n v="13"/>
    <n v="4"/>
    <n v="3"/>
    <n v="9"/>
    <n v="4"/>
    <n v="7"/>
    <n v="0"/>
  </r>
  <r>
    <x v="29"/>
    <x v="1"/>
    <x v="1"/>
    <n v="1240"/>
    <x v="1"/>
    <n v="9"/>
    <n v="3"/>
    <x v="2"/>
    <x v="0"/>
    <x v="772"/>
    <n v="1"/>
    <x v="0"/>
    <n v="63"/>
    <n v="3"/>
    <n v="1"/>
    <x v="1"/>
    <n v="3"/>
    <x v="1"/>
    <n v="2942"/>
    <n v="12154"/>
    <n v="2"/>
    <s v="Y"/>
    <x v="1"/>
    <n v="19"/>
    <n v="3"/>
    <n v="2"/>
    <n v="80"/>
    <n v="1"/>
    <n v="18"/>
    <n v="4"/>
    <n v="3"/>
    <n v="5"/>
    <n v="4"/>
    <n v="0"/>
    <n v="3"/>
  </r>
  <r>
    <x v="9"/>
    <x v="1"/>
    <x v="0"/>
    <n v="796"/>
    <x v="1"/>
    <n v="12"/>
    <n v="5"/>
    <x v="2"/>
    <x v="0"/>
    <x v="773"/>
    <n v="4"/>
    <x v="0"/>
    <n v="51"/>
    <n v="2"/>
    <n v="3"/>
    <x v="3"/>
    <n v="4"/>
    <x v="0"/>
    <n v="8858"/>
    <n v="15669"/>
    <n v="0"/>
    <s v="Y"/>
    <x v="1"/>
    <n v="11"/>
    <n v="3"/>
    <n v="2"/>
    <n v="80"/>
    <n v="0"/>
    <n v="15"/>
    <n v="2"/>
    <n v="2"/>
    <n v="14"/>
    <n v="8"/>
    <n v="7"/>
    <n v="8"/>
  </r>
  <r>
    <x v="27"/>
    <x v="1"/>
    <x v="2"/>
    <n v="444"/>
    <x v="1"/>
    <n v="2"/>
    <n v="1"/>
    <x v="2"/>
    <x v="0"/>
    <x v="774"/>
    <n v="3"/>
    <x v="1"/>
    <n v="40"/>
    <n v="2"/>
    <n v="4"/>
    <x v="5"/>
    <n v="1"/>
    <x v="0"/>
    <n v="16756"/>
    <n v="17323"/>
    <n v="7"/>
    <s v="Y"/>
    <x v="1"/>
    <n v="15"/>
    <n v="3"/>
    <n v="2"/>
    <n v="80"/>
    <n v="0"/>
    <n v="31"/>
    <n v="3"/>
    <n v="4"/>
    <n v="9"/>
    <n v="7"/>
    <n v="6"/>
    <n v="2"/>
  </r>
  <r>
    <x v="23"/>
    <x v="1"/>
    <x v="0"/>
    <n v="415"/>
    <x v="0"/>
    <n v="25"/>
    <n v="3"/>
    <x v="2"/>
    <x v="0"/>
    <x v="775"/>
    <n v="3"/>
    <x v="1"/>
    <n v="79"/>
    <n v="2"/>
    <n v="3"/>
    <x v="0"/>
    <n v="4"/>
    <x v="2"/>
    <n v="10798"/>
    <n v="5268"/>
    <n v="5"/>
    <s v="Y"/>
    <x v="1"/>
    <n v="13"/>
    <n v="3"/>
    <n v="3"/>
    <n v="80"/>
    <n v="1"/>
    <n v="18"/>
    <n v="5"/>
    <n v="3"/>
    <n v="1"/>
    <n v="0"/>
    <n v="0"/>
    <n v="0"/>
  </r>
  <r>
    <x v="35"/>
    <x v="0"/>
    <x v="1"/>
    <n v="769"/>
    <x v="0"/>
    <n v="9"/>
    <n v="3"/>
    <x v="3"/>
    <x v="0"/>
    <x v="776"/>
    <n v="4"/>
    <x v="0"/>
    <n v="54"/>
    <n v="3"/>
    <n v="1"/>
    <x v="6"/>
    <n v="4"/>
    <x v="0"/>
    <n v="2323"/>
    <n v="17205"/>
    <n v="1"/>
    <s v="Y"/>
    <x v="0"/>
    <n v="14"/>
    <n v="3"/>
    <n v="2"/>
    <n v="80"/>
    <n v="0"/>
    <n v="2"/>
    <n v="3"/>
    <n v="3"/>
    <n v="2"/>
    <n v="2"/>
    <n v="0"/>
    <n v="2"/>
  </r>
  <r>
    <x v="18"/>
    <x v="0"/>
    <x v="0"/>
    <n v="1334"/>
    <x v="1"/>
    <n v="10"/>
    <n v="3"/>
    <x v="0"/>
    <x v="0"/>
    <x v="777"/>
    <n v="3"/>
    <x v="0"/>
    <n v="36"/>
    <n v="2"/>
    <n v="1"/>
    <x v="2"/>
    <n v="1"/>
    <x v="0"/>
    <n v="1416"/>
    <n v="17258"/>
    <n v="1"/>
    <s v="Y"/>
    <x v="1"/>
    <n v="13"/>
    <n v="3"/>
    <n v="1"/>
    <n v="80"/>
    <n v="0"/>
    <n v="1"/>
    <n v="6"/>
    <n v="2"/>
    <n v="1"/>
    <n v="0"/>
    <n v="1"/>
    <n v="0"/>
  </r>
  <r>
    <x v="21"/>
    <x v="1"/>
    <x v="0"/>
    <n v="1003"/>
    <x v="1"/>
    <n v="8"/>
    <n v="4"/>
    <x v="0"/>
    <x v="0"/>
    <x v="778"/>
    <n v="4"/>
    <x v="0"/>
    <n v="74"/>
    <n v="2"/>
    <n v="2"/>
    <x v="1"/>
    <n v="1"/>
    <x v="2"/>
    <n v="4615"/>
    <n v="21029"/>
    <n v="8"/>
    <s v="Y"/>
    <x v="0"/>
    <n v="23"/>
    <n v="4"/>
    <n v="1"/>
    <n v="80"/>
    <n v="3"/>
    <n v="19"/>
    <n v="2"/>
    <n v="3"/>
    <n v="16"/>
    <n v="13"/>
    <n v="1"/>
    <n v="7"/>
  </r>
  <r>
    <x v="31"/>
    <x v="0"/>
    <x v="0"/>
    <n v="1323"/>
    <x v="1"/>
    <n v="4"/>
    <n v="4"/>
    <x v="0"/>
    <x v="0"/>
    <x v="779"/>
    <n v="1"/>
    <x v="1"/>
    <n v="34"/>
    <n v="3"/>
    <n v="1"/>
    <x v="1"/>
    <n v="3"/>
    <x v="1"/>
    <n v="2461"/>
    <n v="10332"/>
    <n v="9"/>
    <s v="Y"/>
    <x v="0"/>
    <n v="12"/>
    <n v="3"/>
    <n v="3"/>
    <n v="80"/>
    <n v="3"/>
    <n v="18"/>
    <n v="2"/>
    <n v="4"/>
    <n v="10"/>
    <n v="0"/>
    <n v="2"/>
    <n v="7"/>
  </r>
  <r>
    <x v="14"/>
    <x v="0"/>
    <x v="2"/>
    <n v="1366"/>
    <x v="1"/>
    <n v="24"/>
    <n v="2"/>
    <x v="4"/>
    <x v="0"/>
    <x v="780"/>
    <n v="2"/>
    <x v="1"/>
    <n v="72"/>
    <n v="2"/>
    <n v="3"/>
    <x v="4"/>
    <n v="1"/>
    <x v="0"/>
    <n v="8722"/>
    <n v="12355"/>
    <n v="1"/>
    <s v="Y"/>
    <x v="1"/>
    <n v="12"/>
    <n v="3"/>
    <n v="1"/>
    <n v="80"/>
    <n v="0"/>
    <n v="10"/>
    <n v="2"/>
    <n v="2"/>
    <n v="10"/>
    <n v="7"/>
    <n v="1"/>
    <n v="9"/>
  </r>
  <r>
    <x v="25"/>
    <x v="1"/>
    <x v="0"/>
    <n v="192"/>
    <x v="1"/>
    <n v="1"/>
    <n v="2"/>
    <x v="2"/>
    <x v="0"/>
    <x v="781"/>
    <n v="1"/>
    <x v="1"/>
    <n v="59"/>
    <n v="2"/>
    <n v="1"/>
    <x v="2"/>
    <n v="1"/>
    <x v="1"/>
    <n v="3955"/>
    <n v="11141"/>
    <n v="1"/>
    <s v="Y"/>
    <x v="1"/>
    <n v="16"/>
    <n v="3"/>
    <n v="1"/>
    <n v="80"/>
    <n v="2"/>
    <n v="6"/>
    <n v="2"/>
    <n v="3"/>
    <n v="5"/>
    <n v="3"/>
    <n v="1"/>
    <n v="3"/>
  </r>
  <r>
    <x v="7"/>
    <x v="1"/>
    <x v="0"/>
    <n v="1176"/>
    <x v="1"/>
    <n v="20"/>
    <n v="3"/>
    <x v="1"/>
    <x v="0"/>
    <x v="782"/>
    <n v="3"/>
    <x v="1"/>
    <n v="85"/>
    <n v="3"/>
    <n v="2"/>
    <x v="3"/>
    <n v="1"/>
    <x v="1"/>
    <n v="9957"/>
    <n v="9096"/>
    <n v="0"/>
    <s v="Y"/>
    <x v="1"/>
    <n v="15"/>
    <n v="3"/>
    <n v="3"/>
    <n v="80"/>
    <n v="1"/>
    <n v="7"/>
    <n v="1"/>
    <n v="2"/>
    <n v="6"/>
    <n v="2"/>
    <n v="0"/>
    <n v="2"/>
  </r>
  <r>
    <x v="0"/>
    <x v="1"/>
    <x v="0"/>
    <n v="509"/>
    <x v="1"/>
    <n v="7"/>
    <n v="2"/>
    <x v="4"/>
    <x v="0"/>
    <x v="783"/>
    <n v="2"/>
    <x v="0"/>
    <n v="43"/>
    <n v="4"/>
    <n v="1"/>
    <x v="1"/>
    <n v="3"/>
    <x v="1"/>
    <n v="3376"/>
    <n v="18863"/>
    <n v="1"/>
    <s v="Y"/>
    <x v="1"/>
    <n v="13"/>
    <n v="3"/>
    <n v="3"/>
    <n v="80"/>
    <n v="0"/>
    <n v="10"/>
    <n v="3"/>
    <n v="3"/>
    <n v="10"/>
    <n v="6"/>
    <n v="0"/>
    <n v="8"/>
  </r>
  <r>
    <x v="8"/>
    <x v="1"/>
    <x v="0"/>
    <n v="330"/>
    <x v="1"/>
    <n v="17"/>
    <n v="1"/>
    <x v="0"/>
    <x v="0"/>
    <x v="784"/>
    <n v="3"/>
    <x v="0"/>
    <n v="65"/>
    <n v="2"/>
    <n v="3"/>
    <x v="4"/>
    <n v="3"/>
    <x v="1"/>
    <n v="8823"/>
    <n v="24608"/>
    <n v="0"/>
    <s v="Y"/>
    <x v="1"/>
    <n v="18"/>
    <n v="3"/>
    <n v="1"/>
    <n v="80"/>
    <n v="1"/>
    <n v="20"/>
    <n v="4"/>
    <n v="2"/>
    <n v="19"/>
    <n v="9"/>
    <n v="1"/>
    <n v="9"/>
  </r>
  <r>
    <x v="32"/>
    <x v="1"/>
    <x v="0"/>
    <n v="1492"/>
    <x v="1"/>
    <n v="20"/>
    <n v="4"/>
    <x v="4"/>
    <x v="0"/>
    <x v="785"/>
    <n v="1"/>
    <x v="1"/>
    <n v="61"/>
    <n v="3"/>
    <n v="3"/>
    <x v="4"/>
    <n v="4"/>
    <x v="1"/>
    <n v="10322"/>
    <n v="26542"/>
    <n v="4"/>
    <s v="Y"/>
    <x v="1"/>
    <n v="20"/>
    <n v="4"/>
    <n v="4"/>
    <n v="80"/>
    <n v="1"/>
    <n v="14"/>
    <n v="6"/>
    <n v="3"/>
    <n v="11"/>
    <n v="10"/>
    <n v="11"/>
    <n v="1"/>
  </r>
  <r>
    <x v="4"/>
    <x v="1"/>
    <x v="2"/>
    <n v="1277"/>
    <x v="1"/>
    <n v="8"/>
    <n v="5"/>
    <x v="0"/>
    <x v="0"/>
    <x v="786"/>
    <n v="1"/>
    <x v="1"/>
    <n v="87"/>
    <n v="1"/>
    <n v="1"/>
    <x v="2"/>
    <n v="3"/>
    <x v="1"/>
    <n v="4621"/>
    <n v="5869"/>
    <n v="1"/>
    <s v="Y"/>
    <x v="1"/>
    <n v="19"/>
    <n v="3"/>
    <n v="4"/>
    <n v="80"/>
    <n v="3"/>
    <n v="3"/>
    <n v="4"/>
    <n v="3"/>
    <n v="3"/>
    <n v="2"/>
    <n v="1"/>
    <n v="2"/>
  </r>
  <r>
    <x v="27"/>
    <x v="1"/>
    <x v="1"/>
    <n v="1091"/>
    <x v="1"/>
    <n v="2"/>
    <n v="1"/>
    <x v="0"/>
    <x v="0"/>
    <x v="787"/>
    <n v="4"/>
    <x v="1"/>
    <n v="65"/>
    <n v="3"/>
    <n v="3"/>
    <x v="3"/>
    <n v="2"/>
    <x v="1"/>
    <n v="10976"/>
    <n v="15813"/>
    <n v="3"/>
    <s v="Y"/>
    <x v="1"/>
    <n v="18"/>
    <n v="3"/>
    <n v="2"/>
    <n v="80"/>
    <n v="1"/>
    <n v="23"/>
    <n v="4"/>
    <n v="3"/>
    <n v="3"/>
    <n v="2"/>
    <n v="1"/>
    <n v="2"/>
  </r>
  <r>
    <x v="14"/>
    <x v="1"/>
    <x v="0"/>
    <n v="857"/>
    <x v="1"/>
    <n v="10"/>
    <n v="3"/>
    <x v="1"/>
    <x v="0"/>
    <x v="788"/>
    <n v="3"/>
    <x v="0"/>
    <n v="59"/>
    <n v="3"/>
    <n v="2"/>
    <x v="1"/>
    <n v="3"/>
    <x v="0"/>
    <n v="3660"/>
    <n v="7909"/>
    <n v="3"/>
    <s v="Y"/>
    <x v="1"/>
    <n v="13"/>
    <n v="3"/>
    <n v="4"/>
    <n v="80"/>
    <n v="0"/>
    <n v="10"/>
    <n v="4"/>
    <n v="4"/>
    <n v="8"/>
    <n v="7"/>
    <n v="1"/>
    <n v="7"/>
  </r>
  <r>
    <x v="20"/>
    <x v="0"/>
    <x v="0"/>
    <n v="1376"/>
    <x v="2"/>
    <n v="1"/>
    <n v="2"/>
    <x v="2"/>
    <x v="0"/>
    <x v="789"/>
    <n v="2"/>
    <x v="1"/>
    <n v="91"/>
    <n v="2"/>
    <n v="3"/>
    <x v="8"/>
    <n v="1"/>
    <x v="1"/>
    <n v="10482"/>
    <n v="2326"/>
    <n v="9"/>
    <s v="Y"/>
    <x v="1"/>
    <n v="14"/>
    <n v="3"/>
    <n v="4"/>
    <n v="80"/>
    <n v="1"/>
    <n v="24"/>
    <n v="1"/>
    <n v="3"/>
    <n v="20"/>
    <n v="6"/>
    <n v="3"/>
    <n v="6"/>
  </r>
  <r>
    <x v="3"/>
    <x v="1"/>
    <x v="0"/>
    <n v="654"/>
    <x v="1"/>
    <n v="5"/>
    <n v="3"/>
    <x v="0"/>
    <x v="0"/>
    <x v="790"/>
    <n v="4"/>
    <x v="1"/>
    <n v="34"/>
    <n v="2"/>
    <n v="3"/>
    <x v="4"/>
    <n v="4"/>
    <x v="2"/>
    <n v="7119"/>
    <n v="21214"/>
    <n v="4"/>
    <s v="Y"/>
    <x v="1"/>
    <n v="15"/>
    <n v="3"/>
    <n v="3"/>
    <n v="80"/>
    <n v="1"/>
    <n v="9"/>
    <n v="2"/>
    <n v="3"/>
    <n v="3"/>
    <n v="2"/>
    <n v="1"/>
    <n v="2"/>
  </r>
  <r>
    <x v="10"/>
    <x v="0"/>
    <x v="0"/>
    <n v="1204"/>
    <x v="0"/>
    <n v="4"/>
    <n v="3"/>
    <x v="4"/>
    <x v="0"/>
    <x v="791"/>
    <n v="4"/>
    <x v="1"/>
    <n v="86"/>
    <n v="3"/>
    <n v="3"/>
    <x v="0"/>
    <n v="1"/>
    <x v="0"/>
    <n v="9582"/>
    <n v="10333"/>
    <n v="0"/>
    <s v="Y"/>
    <x v="0"/>
    <n v="22"/>
    <n v="4"/>
    <n v="1"/>
    <n v="80"/>
    <n v="0"/>
    <n v="9"/>
    <n v="2"/>
    <n v="3"/>
    <n v="8"/>
    <n v="7"/>
    <n v="4"/>
    <n v="7"/>
  </r>
  <r>
    <x v="3"/>
    <x v="0"/>
    <x v="1"/>
    <n v="827"/>
    <x v="1"/>
    <n v="29"/>
    <n v="4"/>
    <x v="2"/>
    <x v="0"/>
    <x v="792"/>
    <n v="1"/>
    <x v="0"/>
    <n v="54"/>
    <n v="2"/>
    <n v="2"/>
    <x v="1"/>
    <n v="3"/>
    <x v="0"/>
    <n v="4508"/>
    <n v="3129"/>
    <n v="1"/>
    <s v="Y"/>
    <x v="1"/>
    <n v="22"/>
    <n v="4"/>
    <n v="2"/>
    <n v="80"/>
    <n v="0"/>
    <n v="14"/>
    <n v="4"/>
    <n v="3"/>
    <n v="13"/>
    <n v="7"/>
    <n v="3"/>
    <n v="8"/>
  </r>
  <r>
    <x v="14"/>
    <x v="1"/>
    <x v="0"/>
    <n v="895"/>
    <x v="1"/>
    <n v="15"/>
    <n v="2"/>
    <x v="0"/>
    <x v="0"/>
    <x v="793"/>
    <n v="1"/>
    <x v="1"/>
    <n v="50"/>
    <n v="3"/>
    <n v="1"/>
    <x v="2"/>
    <n v="3"/>
    <x v="2"/>
    <n v="2207"/>
    <n v="22482"/>
    <n v="1"/>
    <s v="Y"/>
    <x v="1"/>
    <n v="16"/>
    <n v="3"/>
    <n v="4"/>
    <n v="80"/>
    <n v="1"/>
    <n v="4"/>
    <n v="5"/>
    <n v="2"/>
    <n v="4"/>
    <n v="2"/>
    <n v="2"/>
    <n v="2"/>
  </r>
  <r>
    <x v="13"/>
    <x v="1"/>
    <x v="1"/>
    <n v="618"/>
    <x v="1"/>
    <n v="3"/>
    <n v="1"/>
    <x v="0"/>
    <x v="0"/>
    <x v="794"/>
    <n v="1"/>
    <x v="1"/>
    <n v="45"/>
    <n v="3"/>
    <n v="2"/>
    <x v="4"/>
    <n v="4"/>
    <x v="0"/>
    <n v="7756"/>
    <n v="22266"/>
    <n v="0"/>
    <s v="Y"/>
    <x v="1"/>
    <n v="17"/>
    <n v="3"/>
    <n v="3"/>
    <n v="80"/>
    <n v="0"/>
    <n v="7"/>
    <n v="1"/>
    <n v="2"/>
    <n v="6"/>
    <n v="2"/>
    <n v="0"/>
    <n v="4"/>
  </r>
  <r>
    <x v="2"/>
    <x v="1"/>
    <x v="0"/>
    <n v="309"/>
    <x v="0"/>
    <n v="10"/>
    <n v="4"/>
    <x v="0"/>
    <x v="0"/>
    <x v="795"/>
    <n v="4"/>
    <x v="0"/>
    <n v="88"/>
    <n v="2"/>
    <n v="2"/>
    <x v="0"/>
    <n v="4"/>
    <x v="2"/>
    <n v="6694"/>
    <n v="24223"/>
    <n v="2"/>
    <s v="Y"/>
    <x v="0"/>
    <n v="14"/>
    <n v="3"/>
    <n v="3"/>
    <n v="80"/>
    <n v="3"/>
    <n v="8"/>
    <n v="5"/>
    <n v="3"/>
    <n v="1"/>
    <n v="0"/>
    <n v="0"/>
    <n v="0"/>
  </r>
  <r>
    <x v="36"/>
    <x v="0"/>
    <x v="0"/>
    <n v="1219"/>
    <x v="1"/>
    <n v="4"/>
    <n v="1"/>
    <x v="4"/>
    <x v="0"/>
    <x v="796"/>
    <n v="4"/>
    <x v="1"/>
    <n v="32"/>
    <n v="3"/>
    <n v="1"/>
    <x v="2"/>
    <n v="4"/>
    <x v="1"/>
    <n v="3691"/>
    <n v="4605"/>
    <n v="1"/>
    <s v="Y"/>
    <x v="0"/>
    <n v="15"/>
    <n v="3"/>
    <n v="2"/>
    <n v="80"/>
    <n v="1"/>
    <n v="7"/>
    <n v="3"/>
    <n v="4"/>
    <n v="7"/>
    <n v="7"/>
    <n v="5"/>
    <n v="6"/>
  </r>
  <r>
    <x v="25"/>
    <x v="0"/>
    <x v="0"/>
    <n v="1330"/>
    <x v="1"/>
    <n v="21"/>
    <n v="3"/>
    <x v="2"/>
    <x v="0"/>
    <x v="797"/>
    <n v="1"/>
    <x v="1"/>
    <n v="37"/>
    <n v="3"/>
    <n v="1"/>
    <x v="2"/>
    <n v="3"/>
    <x v="2"/>
    <n v="2377"/>
    <n v="19373"/>
    <n v="1"/>
    <s v="Y"/>
    <x v="1"/>
    <n v="20"/>
    <n v="4"/>
    <n v="3"/>
    <n v="80"/>
    <n v="1"/>
    <n v="1"/>
    <n v="0"/>
    <n v="2"/>
    <n v="1"/>
    <n v="1"/>
    <n v="0"/>
    <n v="0"/>
  </r>
  <r>
    <x v="3"/>
    <x v="0"/>
    <x v="0"/>
    <n v="1017"/>
    <x v="1"/>
    <n v="25"/>
    <n v="3"/>
    <x v="2"/>
    <x v="0"/>
    <x v="798"/>
    <n v="1"/>
    <x v="1"/>
    <n v="55"/>
    <n v="2"/>
    <n v="1"/>
    <x v="1"/>
    <n v="2"/>
    <x v="0"/>
    <n v="2313"/>
    <n v="2993"/>
    <n v="4"/>
    <s v="Y"/>
    <x v="0"/>
    <n v="20"/>
    <n v="4"/>
    <n v="2"/>
    <n v="80"/>
    <n v="0"/>
    <n v="5"/>
    <n v="0"/>
    <n v="3"/>
    <n v="2"/>
    <n v="2"/>
    <n v="2"/>
    <n v="2"/>
  </r>
  <r>
    <x v="19"/>
    <x v="1"/>
    <x v="0"/>
    <n v="469"/>
    <x v="1"/>
    <n v="2"/>
    <n v="2"/>
    <x v="2"/>
    <x v="0"/>
    <x v="799"/>
    <n v="4"/>
    <x v="1"/>
    <n v="35"/>
    <n v="3"/>
    <n v="4"/>
    <x v="5"/>
    <n v="1"/>
    <x v="1"/>
    <n v="17665"/>
    <n v="14399"/>
    <n v="0"/>
    <s v="Y"/>
    <x v="1"/>
    <n v="17"/>
    <n v="3"/>
    <n v="4"/>
    <n v="80"/>
    <n v="1"/>
    <n v="23"/>
    <n v="3"/>
    <n v="3"/>
    <n v="22"/>
    <n v="6"/>
    <n v="13"/>
    <n v="7"/>
  </r>
  <r>
    <x v="14"/>
    <x v="0"/>
    <x v="1"/>
    <n v="1009"/>
    <x v="1"/>
    <n v="1"/>
    <n v="3"/>
    <x v="2"/>
    <x v="0"/>
    <x v="800"/>
    <n v="1"/>
    <x v="1"/>
    <n v="45"/>
    <n v="2"/>
    <n v="1"/>
    <x v="2"/>
    <n v="2"/>
    <x v="2"/>
    <n v="2596"/>
    <n v="7160"/>
    <n v="1"/>
    <s v="Y"/>
    <x v="1"/>
    <n v="15"/>
    <n v="3"/>
    <n v="1"/>
    <n v="80"/>
    <n v="2"/>
    <n v="1"/>
    <n v="2"/>
    <n v="3"/>
    <n v="1"/>
    <n v="0"/>
    <n v="0"/>
    <n v="0"/>
  </r>
  <r>
    <x v="24"/>
    <x v="0"/>
    <x v="1"/>
    <n v="959"/>
    <x v="0"/>
    <n v="1"/>
    <n v="4"/>
    <x v="1"/>
    <x v="0"/>
    <x v="801"/>
    <n v="4"/>
    <x v="1"/>
    <n v="81"/>
    <n v="3"/>
    <n v="2"/>
    <x v="0"/>
    <n v="3"/>
    <x v="0"/>
    <n v="4728"/>
    <n v="17251"/>
    <n v="3"/>
    <s v="Y"/>
    <x v="0"/>
    <n v="14"/>
    <n v="3"/>
    <n v="4"/>
    <n v="80"/>
    <n v="0"/>
    <n v="5"/>
    <n v="4"/>
    <n v="3"/>
    <n v="0"/>
    <n v="0"/>
    <n v="0"/>
    <n v="0"/>
  </r>
  <r>
    <x v="3"/>
    <x v="1"/>
    <x v="1"/>
    <n v="970"/>
    <x v="0"/>
    <n v="7"/>
    <n v="3"/>
    <x v="0"/>
    <x v="0"/>
    <x v="802"/>
    <n v="4"/>
    <x v="0"/>
    <n v="30"/>
    <n v="3"/>
    <n v="2"/>
    <x v="0"/>
    <n v="2"/>
    <x v="1"/>
    <n v="4302"/>
    <n v="13401"/>
    <n v="0"/>
    <s v="Y"/>
    <x v="1"/>
    <n v="17"/>
    <n v="3"/>
    <n v="3"/>
    <n v="80"/>
    <n v="1"/>
    <n v="4"/>
    <n v="3"/>
    <n v="3"/>
    <n v="3"/>
    <n v="2"/>
    <n v="0"/>
    <n v="2"/>
  </r>
  <r>
    <x v="13"/>
    <x v="1"/>
    <x v="2"/>
    <n v="697"/>
    <x v="1"/>
    <n v="3"/>
    <n v="4"/>
    <x v="0"/>
    <x v="0"/>
    <x v="803"/>
    <n v="3"/>
    <x v="1"/>
    <n v="40"/>
    <n v="2"/>
    <n v="1"/>
    <x v="1"/>
    <n v="4"/>
    <x v="1"/>
    <n v="2979"/>
    <n v="22478"/>
    <n v="3"/>
    <s v="Y"/>
    <x v="1"/>
    <n v="17"/>
    <n v="3"/>
    <n v="4"/>
    <n v="80"/>
    <n v="3"/>
    <n v="6"/>
    <n v="2"/>
    <n v="3"/>
    <n v="0"/>
    <n v="0"/>
    <n v="0"/>
    <n v="0"/>
  </r>
  <r>
    <x v="26"/>
    <x v="1"/>
    <x v="2"/>
    <n v="1262"/>
    <x v="1"/>
    <n v="1"/>
    <n v="4"/>
    <x v="2"/>
    <x v="0"/>
    <x v="804"/>
    <n v="1"/>
    <x v="1"/>
    <n v="35"/>
    <n v="4"/>
    <n v="4"/>
    <x v="5"/>
    <n v="4"/>
    <x v="0"/>
    <n v="16885"/>
    <n v="16154"/>
    <n v="2"/>
    <s v="Y"/>
    <x v="1"/>
    <n v="22"/>
    <n v="4"/>
    <n v="3"/>
    <n v="80"/>
    <n v="0"/>
    <n v="27"/>
    <n v="3"/>
    <n v="2"/>
    <n v="5"/>
    <n v="4"/>
    <n v="2"/>
    <n v="1"/>
  </r>
  <r>
    <x v="28"/>
    <x v="1"/>
    <x v="2"/>
    <n v="1050"/>
    <x v="0"/>
    <n v="9"/>
    <n v="4"/>
    <x v="0"/>
    <x v="0"/>
    <x v="805"/>
    <n v="2"/>
    <x v="0"/>
    <n v="65"/>
    <n v="2"/>
    <n v="2"/>
    <x v="0"/>
    <n v="3"/>
    <x v="1"/>
    <n v="5593"/>
    <n v="17970"/>
    <n v="1"/>
    <s v="Y"/>
    <x v="1"/>
    <n v="13"/>
    <n v="3"/>
    <n v="4"/>
    <n v="80"/>
    <n v="1"/>
    <n v="15"/>
    <n v="2"/>
    <n v="3"/>
    <n v="15"/>
    <n v="10"/>
    <n v="4"/>
    <n v="12"/>
  </r>
  <r>
    <x v="39"/>
    <x v="1"/>
    <x v="0"/>
    <n v="994"/>
    <x v="1"/>
    <n v="7"/>
    <n v="4"/>
    <x v="0"/>
    <x v="0"/>
    <x v="806"/>
    <n v="2"/>
    <x v="1"/>
    <n v="87"/>
    <n v="3"/>
    <n v="3"/>
    <x v="4"/>
    <n v="2"/>
    <x v="0"/>
    <n v="10445"/>
    <n v="15322"/>
    <n v="7"/>
    <s v="Y"/>
    <x v="1"/>
    <n v="19"/>
    <n v="3"/>
    <n v="4"/>
    <n v="80"/>
    <n v="0"/>
    <n v="18"/>
    <n v="4"/>
    <n v="3"/>
    <n v="8"/>
    <n v="6"/>
    <n v="4"/>
    <n v="0"/>
  </r>
  <r>
    <x v="8"/>
    <x v="1"/>
    <x v="0"/>
    <n v="770"/>
    <x v="0"/>
    <n v="10"/>
    <n v="4"/>
    <x v="3"/>
    <x v="0"/>
    <x v="807"/>
    <n v="3"/>
    <x v="1"/>
    <n v="73"/>
    <n v="2"/>
    <n v="3"/>
    <x v="0"/>
    <n v="3"/>
    <x v="2"/>
    <n v="8740"/>
    <n v="5569"/>
    <n v="0"/>
    <s v="Y"/>
    <x v="0"/>
    <n v="14"/>
    <n v="3"/>
    <n v="2"/>
    <n v="80"/>
    <n v="2"/>
    <n v="9"/>
    <n v="2"/>
    <n v="3"/>
    <n v="8"/>
    <n v="7"/>
    <n v="2"/>
    <n v="7"/>
  </r>
  <r>
    <x v="11"/>
    <x v="1"/>
    <x v="0"/>
    <n v="1107"/>
    <x v="1"/>
    <n v="28"/>
    <n v="4"/>
    <x v="0"/>
    <x v="0"/>
    <x v="808"/>
    <n v="3"/>
    <x v="0"/>
    <n v="93"/>
    <n v="3"/>
    <n v="1"/>
    <x v="1"/>
    <n v="4"/>
    <x v="2"/>
    <n v="2514"/>
    <n v="26968"/>
    <n v="4"/>
    <s v="Y"/>
    <x v="1"/>
    <n v="22"/>
    <n v="4"/>
    <n v="1"/>
    <n v="80"/>
    <n v="1"/>
    <n v="11"/>
    <n v="1"/>
    <n v="3"/>
    <n v="7"/>
    <n v="5"/>
    <n v="1"/>
    <n v="7"/>
  </r>
  <r>
    <x v="14"/>
    <x v="1"/>
    <x v="0"/>
    <n v="950"/>
    <x v="1"/>
    <n v="3"/>
    <n v="3"/>
    <x v="2"/>
    <x v="0"/>
    <x v="809"/>
    <n v="4"/>
    <x v="0"/>
    <n v="93"/>
    <n v="3"/>
    <n v="3"/>
    <x v="3"/>
    <n v="2"/>
    <x v="2"/>
    <n v="7655"/>
    <n v="8039"/>
    <n v="0"/>
    <s v="Y"/>
    <x v="1"/>
    <n v="17"/>
    <n v="3"/>
    <n v="2"/>
    <n v="80"/>
    <n v="3"/>
    <n v="10"/>
    <n v="3"/>
    <n v="2"/>
    <n v="9"/>
    <n v="7"/>
    <n v="1"/>
    <n v="7"/>
  </r>
  <r>
    <x v="21"/>
    <x v="1"/>
    <x v="0"/>
    <n v="406"/>
    <x v="0"/>
    <n v="3"/>
    <n v="1"/>
    <x v="3"/>
    <x v="0"/>
    <x v="810"/>
    <n v="1"/>
    <x v="1"/>
    <n v="52"/>
    <n v="3"/>
    <n v="4"/>
    <x v="5"/>
    <n v="3"/>
    <x v="1"/>
    <n v="17465"/>
    <n v="15596"/>
    <n v="3"/>
    <s v="Y"/>
    <x v="1"/>
    <n v="12"/>
    <n v="3"/>
    <n v="4"/>
    <n v="80"/>
    <n v="1"/>
    <n v="23"/>
    <n v="3"/>
    <n v="3"/>
    <n v="12"/>
    <n v="9"/>
    <n v="4"/>
    <n v="9"/>
  </r>
  <r>
    <x v="8"/>
    <x v="1"/>
    <x v="0"/>
    <n v="130"/>
    <x v="0"/>
    <n v="2"/>
    <n v="2"/>
    <x v="3"/>
    <x v="0"/>
    <x v="811"/>
    <n v="4"/>
    <x v="1"/>
    <n v="32"/>
    <n v="3"/>
    <n v="3"/>
    <x v="0"/>
    <n v="2"/>
    <x v="0"/>
    <n v="7351"/>
    <n v="20619"/>
    <n v="7"/>
    <s v="Y"/>
    <x v="1"/>
    <n v="16"/>
    <n v="3"/>
    <n v="3"/>
    <n v="80"/>
    <n v="0"/>
    <n v="10"/>
    <n v="2"/>
    <n v="3"/>
    <n v="1"/>
    <n v="0"/>
    <n v="0"/>
    <n v="0"/>
  </r>
  <r>
    <x v="23"/>
    <x v="1"/>
    <x v="1"/>
    <n v="1082"/>
    <x v="1"/>
    <n v="27"/>
    <n v="3"/>
    <x v="0"/>
    <x v="0"/>
    <x v="812"/>
    <n v="3"/>
    <x v="0"/>
    <n v="83"/>
    <n v="3"/>
    <n v="3"/>
    <x v="3"/>
    <n v="1"/>
    <x v="1"/>
    <n v="10820"/>
    <n v="11535"/>
    <n v="8"/>
    <s v="Y"/>
    <x v="1"/>
    <n v="11"/>
    <n v="3"/>
    <n v="3"/>
    <n v="80"/>
    <n v="1"/>
    <n v="18"/>
    <n v="1"/>
    <n v="3"/>
    <n v="8"/>
    <n v="7"/>
    <n v="0"/>
    <n v="1"/>
  </r>
  <r>
    <x v="22"/>
    <x v="0"/>
    <x v="1"/>
    <n v="203"/>
    <x v="1"/>
    <n v="2"/>
    <n v="3"/>
    <x v="0"/>
    <x v="0"/>
    <x v="813"/>
    <n v="1"/>
    <x v="1"/>
    <n v="84"/>
    <n v="3"/>
    <n v="4"/>
    <x v="4"/>
    <n v="4"/>
    <x v="2"/>
    <n v="12169"/>
    <n v="13547"/>
    <n v="7"/>
    <s v="Y"/>
    <x v="1"/>
    <n v="11"/>
    <n v="3"/>
    <n v="4"/>
    <n v="80"/>
    <n v="3"/>
    <n v="21"/>
    <n v="4"/>
    <n v="3"/>
    <n v="18"/>
    <n v="7"/>
    <n v="11"/>
    <n v="5"/>
  </r>
  <r>
    <x v="32"/>
    <x v="1"/>
    <x v="0"/>
    <n v="1308"/>
    <x v="1"/>
    <n v="14"/>
    <n v="3"/>
    <x v="2"/>
    <x v="0"/>
    <x v="814"/>
    <n v="3"/>
    <x v="1"/>
    <n v="44"/>
    <n v="2"/>
    <n v="5"/>
    <x v="7"/>
    <n v="3"/>
    <x v="0"/>
    <n v="19626"/>
    <n v="17544"/>
    <n v="1"/>
    <s v="Y"/>
    <x v="1"/>
    <n v="14"/>
    <n v="3"/>
    <n v="1"/>
    <n v="80"/>
    <n v="0"/>
    <n v="21"/>
    <n v="2"/>
    <n v="4"/>
    <n v="20"/>
    <n v="7"/>
    <n v="4"/>
    <n v="9"/>
  </r>
  <r>
    <x v="18"/>
    <x v="1"/>
    <x v="0"/>
    <n v="984"/>
    <x v="1"/>
    <n v="1"/>
    <n v="1"/>
    <x v="4"/>
    <x v="0"/>
    <x v="815"/>
    <n v="4"/>
    <x v="0"/>
    <n v="70"/>
    <n v="2"/>
    <n v="1"/>
    <x v="1"/>
    <n v="2"/>
    <x v="0"/>
    <n v="2070"/>
    <n v="25326"/>
    <n v="1"/>
    <s v="Y"/>
    <x v="0"/>
    <n v="11"/>
    <n v="3"/>
    <n v="3"/>
    <n v="80"/>
    <n v="0"/>
    <n v="2"/>
    <n v="6"/>
    <n v="4"/>
    <n v="2"/>
    <n v="2"/>
    <n v="2"/>
    <n v="2"/>
  </r>
  <r>
    <x v="22"/>
    <x v="1"/>
    <x v="2"/>
    <n v="439"/>
    <x v="1"/>
    <n v="9"/>
    <n v="3"/>
    <x v="0"/>
    <x v="0"/>
    <x v="816"/>
    <n v="3"/>
    <x v="1"/>
    <n v="70"/>
    <n v="3"/>
    <n v="2"/>
    <x v="2"/>
    <n v="2"/>
    <x v="0"/>
    <n v="6782"/>
    <n v="8770"/>
    <n v="9"/>
    <s v="Y"/>
    <x v="1"/>
    <n v="15"/>
    <n v="3"/>
    <n v="3"/>
    <n v="80"/>
    <n v="0"/>
    <n v="9"/>
    <n v="2"/>
    <n v="2"/>
    <n v="5"/>
    <n v="4"/>
    <n v="0"/>
    <n v="3"/>
  </r>
  <r>
    <x v="9"/>
    <x v="1"/>
    <x v="2"/>
    <n v="217"/>
    <x v="1"/>
    <n v="18"/>
    <n v="4"/>
    <x v="0"/>
    <x v="0"/>
    <x v="817"/>
    <n v="1"/>
    <x v="1"/>
    <n v="78"/>
    <n v="3"/>
    <n v="2"/>
    <x v="3"/>
    <n v="4"/>
    <x v="0"/>
    <n v="7779"/>
    <n v="23238"/>
    <n v="2"/>
    <s v="Y"/>
    <x v="1"/>
    <n v="20"/>
    <n v="4"/>
    <n v="1"/>
    <n v="80"/>
    <n v="0"/>
    <n v="18"/>
    <n v="0"/>
    <n v="3"/>
    <n v="11"/>
    <n v="9"/>
    <n v="0"/>
    <n v="9"/>
  </r>
  <r>
    <x v="12"/>
    <x v="1"/>
    <x v="1"/>
    <n v="793"/>
    <x v="0"/>
    <n v="20"/>
    <n v="3"/>
    <x v="0"/>
    <x v="0"/>
    <x v="818"/>
    <n v="3"/>
    <x v="1"/>
    <n v="67"/>
    <n v="4"/>
    <n v="1"/>
    <x v="6"/>
    <n v="4"/>
    <x v="1"/>
    <n v="2791"/>
    <n v="21981"/>
    <n v="0"/>
    <s v="Y"/>
    <x v="1"/>
    <n v="12"/>
    <n v="3"/>
    <n v="1"/>
    <n v="80"/>
    <n v="1"/>
    <n v="3"/>
    <n v="4"/>
    <n v="3"/>
    <n v="2"/>
    <n v="2"/>
    <n v="2"/>
    <n v="2"/>
  </r>
  <r>
    <x v="14"/>
    <x v="1"/>
    <x v="0"/>
    <n v="1451"/>
    <x v="1"/>
    <n v="2"/>
    <n v="1"/>
    <x v="0"/>
    <x v="0"/>
    <x v="819"/>
    <n v="1"/>
    <x v="1"/>
    <n v="67"/>
    <n v="2"/>
    <n v="1"/>
    <x v="1"/>
    <n v="2"/>
    <x v="1"/>
    <n v="3201"/>
    <n v="19911"/>
    <n v="0"/>
    <s v="Y"/>
    <x v="1"/>
    <n v="17"/>
    <n v="3"/>
    <n v="1"/>
    <n v="80"/>
    <n v="0"/>
    <n v="6"/>
    <n v="2"/>
    <n v="1"/>
    <n v="5"/>
    <n v="3"/>
    <n v="0"/>
    <n v="4"/>
  </r>
  <r>
    <x v="10"/>
    <x v="1"/>
    <x v="1"/>
    <n v="1182"/>
    <x v="0"/>
    <n v="11"/>
    <n v="2"/>
    <x v="3"/>
    <x v="0"/>
    <x v="820"/>
    <n v="4"/>
    <x v="1"/>
    <n v="54"/>
    <n v="3"/>
    <n v="2"/>
    <x v="0"/>
    <n v="4"/>
    <x v="2"/>
    <n v="4968"/>
    <n v="18500"/>
    <n v="1"/>
    <s v="Y"/>
    <x v="1"/>
    <n v="11"/>
    <n v="3"/>
    <n v="4"/>
    <n v="80"/>
    <n v="1"/>
    <n v="5"/>
    <n v="3"/>
    <n v="3"/>
    <n v="5"/>
    <n v="2"/>
    <n v="0"/>
    <n v="2"/>
  </r>
  <r>
    <x v="1"/>
    <x v="1"/>
    <x v="0"/>
    <n v="174"/>
    <x v="0"/>
    <n v="8"/>
    <n v="4"/>
    <x v="4"/>
    <x v="0"/>
    <x v="821"/>
    <n v="4"/>
    <x v="1"/>
    <n v="56"/>
    <n v="2"/>
    <n v="4"/>
    <x v="0"/>
    <n v="2"/>
    <x v="1"/>
    <n v="13120"/>
    <n v="11879"/>
    <n v="6"/>
    <s v="Y"/>
    <x v="1"/>
    <n v="17"/>
    <n v="3"/>
    <n v="2"/>
    <n v="80"/>
    <n v="1"/>
    <n v="22"/>
    <n v="3"/>
    <n v="3"/>
    <n v="9"/>
    <n v="8"/>
    <n v="2"/>
    <n v="3"/>
  </r>
  <r>
    <x v="13"/>
    <x v="1"/>
    <x v="1"/>
    <n v="1003"/>
    <x v="1"/>
    <n v="2"/>
    <n v="2"/>
    <x v="0"/>
    <x v="0"/>
    <x v="822"/>
    <n v="4"/>
    <x v="1"/>
    <n v="95"/>
    <n v="3"/>
    <n v="2"/>
    <x v="3"/>
    <n v="3"/>
    <x v="0"/>
    <n v="4033"/>
    <n v="15834"/>
    <n v="2"/>
    <s v="Y"/>
    <x v="1"/>
    <n v="11"/>
    <n v="3"/>
    <n v="4"/>
    <n v="80"/>
    <n v="0"/>
    <n v="5"/>
    <n v="3"/>
    <n v="2"/>
    <n v="3"/>
    <n v="2"/>
    <n v="0"/>
    <n v="2"/>
  </r>
  <r>
    <x v="11"/>
    <x v="1"/>
    <x v="1"/>
    <n v="490"/>
    <x v="1"/>
    <n v="10"/>
    <n v="3"/>
    <x v="0"/>
    <x v="0"/>
    <x v="823"/>
    <n v="4"/>
    <x v="0"/>
    <n v="61"/>
    <n v="3"/>
    <n v="1"/>
    <x v="1"/>
    <n v="2"/>
    <x v="2"/>
    <n v="3291"/>
    <n v="17940"/>
    <n v="0"/>
    <s v="Y"/>
    <x v="1"/>
    <n v="14"/>
    <n v="3"/>
    <n v="4"/>
    <n v="80"/>
    <n v="2"/>
    <n v="8"/>
    <n v="2"/>
    <n v="2"/>
    <n v="7"/>
    <n v="5"/>
    <n v="1"/>
    <n v="1"/>
  </r>
  <r>
    <x v="19"/>
    <x v="1"/>
    <x v="0"/>
    <n v="188"/>
    <x v="1"/>
    <n v="29"/>
    <n v="3"/>
    <x v="2"/>
    <x v="0"/>
    <x v="824"/>
    <n v="2"/>
    <x v="1"/>
    <n v="56"/>
    <n v="1"/>
    <n v="2"/>
    <x v="2"/>
    <n v="4"/>
    <x v="0"/>
    <n v="4272"/>
    <n v="9558"/>
    <n v="4"/>
    <s v="Y"/>
    <x v="1"/>
    <n v="19"/>
    <n v="3"/>
    <n v="1"/>
    <n v="80"/>
    <n v="0"/>
    <n v="16"/>
    <n v="3"/>
    <n v="3"/>
    <n v="1"/>
    <n v="0"/>
    <n v="0"/>
    <n v="0"/>
  </r>
  <r>
    <x v="11"/>
    <x v="1"/>
    <x v="0"/>
    <n v="718"/>
    <x v="1"/>
    <n v="8"/>
    <n v="1"/>
    <x v="2"/>
    <x v="0"/>
    <x v="825"/>
    <n v="2"/>
    <x v="1"/>
    <n v="79"/>
    <n v="2"/>
    <n v="2"/>
    <x v="3"/>
    <n v="4"/>
    <x v="1"/>
    <n v="5056"/>
    <n v="17689"/>
    <n v="1"/>
    <s v="Y"/>
    <x v="0"/>
    <n v="15"/>
    <n v="3"/>
    <n v="3"/>
    <n v="80"/>
    <n v="1"/>
    <n v="10"/>
    <n v="2"/>
    <n v="2"/>
    <n v="10"/>
    <n v="7"/>
    <n v="1"/>
    <n v="2"/>
  </r>
  <r>
    <x v="8"/>
    <x v="1"/>
    <x v="0"/>
    <n v="433"/>
    <x v="2"/>
    <n v="1"/>
    <n v="3"/>
    <x v="5"/>
    <x v="0"/>
    <x v="826"/>
    <n v="3"/>
    <x v="1"/>
    <n v="37"/>
    <n v="4"/>
    <n v="1"/>
    <x v="8"/>
    <n v="3"/>
    <x v="1"/>
    <n v="2844"/>
    <n v="6004"/>
    <n v="1"/>
    <s v="Y"/>
    <x v="1"/>
    <n v="13"/>
    <n v="3"/>
    <n v="4"/>
    <n v="80"/>
    <n v="1"/>
    <n v="7"/>
    <n v="2"/>
    <n v="4"/>
    <n v="7"/>
    <n v="6"/>
    <n v="5"/>
    <n v="0"/>
  </r>
  <r>
    <x v="14"/>
    <x v="1"/>
    <x v="1"/>
    <n v="773"/>
    <x v="1"/>
    <n v="6"/>
    <n v="3"/>
    <x v="0"/>
    <x v="0"/>
    <x v="827"/>
    <n v="3"/>
    <x v="1"/>
    <n v="39"/>
    <n v="2"/>
    <n v="1"/>
    <x v="1"/>
    <n v="3"/>
    <x v="2"/>
    <n v="2703"/>
    <n v="22088"/>
    <n v="1"/>
    <s v="Y"/>
    <x v="0"/>
    <n v="14"/>
    <n v="3"/>
    <n v="4"/>
    <n v="80"/>
    <n v="1"/>
    <n v="3"/>
    <n v="2"/>
    <n v="3"/>
    <n v="3"/>
    <n v="1"/>
    <n v="0"/>
    <n v="2"/>
  </r>
  <r>
    <x v="41"/>
    <x v="0"/>
    <x v="2"/>
    <n v="247"/>
    <x v="1"/>
    <n v="8"/>
    <n v="1"/>
    <x v="2"/>
    <x v="0"/>
    <x v="828"/>
    <n v="3"/>
    <x v="1"/>
    <n v="80"/>
    <n v="3"/>
    <n v="1"/>
    <x v="2"/>
    <n v="3"/>
    <x v="0"/>
    <n v="1904"/>
    <n v="13556"/>
    <n v="1"/>
    <s v="Y"/>
    <x v="1"/>
    <n v="12"/>
    <n v="3"/>
    <n v="4"/>
    <n v="80"/>
    <n v="0"/>
    <n v="0"/>
    <n v="0"/>
    <n v="3"/>
    <n v="0"/>
    <n v="0"/>
    <n v="0"/>
    <n v="0"/>
  </r>
  <r>
    <x v="3"/>
    <x v="0"/>
    <x v="0"/>
    <n v="603"/>
    <x v="0"/>
    <n v="9"/>
    <n v="4"/>
    <x v="3"/>
    <x v="0"/>
    <x v="829"/>
    <n v="1"/>
    <x v="0"/>
    <n v="77"/>
    <n v="3"/>
    <n v="2"/>
    <x v="0"/>
    <n v="1"/>
    <x v="0"/>
    <n v="8224"/>
    <n v="18385"/>
    <n v="0"/>
    <s v="Y"/>
    <x v="0"/>
    <n v="17"/>
    <n v="3"/>
    <n v="1"/>
    <n v="80"/>
    <n v="0"/>
    <n v="6"/>
    <n v="3"/>
    <n v="3"/>
    <n v="5"/>
    <n v="2"/>
    <n v="0"/>
    <n v="3"/>
  </r>
  <r>
    <x v="0"/>
    <x v="1"/>
    <x v="0"/>
    <n v="167"/>
    <x v="1"/>
    <n v="12"/>
    <n v="4"/>
    <x v="0"/>
    <x v="0"/>
    <x v="830"/>
    <n v="2"/>
    <x v="1"/>
    <n v="46"/>
    <n v="3"/>
    <n v="1"/>
    <x v="2"/>
    <n v="4"/>
    <x v="1"/>
    <n v="4766"/>
    <n v="9051"/>
    <n v="3"/>
    <s v="Y"/>
    <x v="0"/>
    <n v="11"/>
    <n v="3"/>
    <n v="1"/>
    <n v="80"/>
    <n v="1"/>
    <n v="6"/>
    <n v="4"/>
    <n v="3"/>
    <n v="1"/>
    <n v="0"/>
    <n v="0"/>
    <n v="0"/>
  </r>
  <r>
    <x v="12"/>
    <x v="0"/>
    <x v="1"/>
    <n v="874"/>
    <x v="1"/>
    <n v="15"/>
    <n v="3"/>
    <x v="2"/>
    <x v="0"/>
    <x v="831"/>
    <n v="3"/>
    <x v="1"/>
    <n v="72"/>
    <n v="3"/>
    <n v="1"/>
    <x v="2"/>
    <n v="3"/>
    <x v="1"/>
    <n v="2610"/>
    <n v="6233"/>
    <n v="1"/>
    <s v="Y"/>
    <x v="1"/>
    <n v="12"/>
    <n v="3"/>
    <n v="3"/>
    <n v="80"/>
    <n v="1"/>
    <n v="2"/>
    <n v="5"/>
    <n v="2"/>
    <n v="2"/>
    <n v="2"/>
    <n v="2"/>
    <n v="2"/>
  </r>
  <r>
    <x v="2"/>
    <x v="1"/>
    <x v="0"/>
    <n v="367"/>
    <x v="1"/>
    <n v="25"/>
    <n v="2"/>
    <x v="2"/>
    <x v="0"/>
    <x v="832"/>
    <n v="3"/>
    <x v="0"/>
    <n v="52"/>
    <n v="2"/>
    <n v="2"/>
    <x v="4"/>
    <n v="4"/>
    <x v="2"/>
    <n v="5731"/>
    <n v="17171"/>
    <n v="7"/>
    <s v="Y"/>
    <x v="1"/>
    <n v="13"/>
    <n v="3"/>
    <n v="3"/>
    <n v="80"/>
    <n v="2"/>
    <n v="9"/>
    <n v="2"/>
    <n v="3"/>
    <n v="6"/>
    <n v="2"/>
    <n v="1"/>
    <n v="3"/>
  </r>
  <r>
    <x v="4"/>
    <x v="1"/>
    <x v="0"/>
    <n v="199"/>
    <x v="1"/>
    <n v="6"/>
    <n v="3"/>
    <x v="0"/>
    <x v="0"/>
    <x v="833"/>
    <n v="4"/>
    <x v="1"/>
    <n v="55"/>
    <n v="2"/>
    <n v="1"/>
    <x v="1"/>
    <n v="3"/>
    <x v="1"/>
    <n v="2539"/>
    <n v="7950"/>
    <n v="1"/>
    <s v="Y"/>
    <x v="1"/>
    <n v="13"/>
    <n v="3"/>
    <n v="3"/>
    <n v="80"/>
    <n v="1"/>
    <n v="4"/>
    <n v="0"/>
    <n v="3"/>
    <n v="4"/>
    <n v="2"/>
    <n v="2"/>
    <n v="2"/>
  </r>
  <r>
    <x v="13"/>
    <x v="1"/>
    <x v="0"/>
    <n v="1400"/>
    <x v="0"/>
    <n v="9"/>
    <n v="1"/>
    <x v="0"/>
    <x v="0"/>
    <x v="834"/>
    <n v="2"/>
    <x v="0"/>
    <n v="70"/>
    <n v="3"/>
    <n v="2"/>
    <x v="0"/>
    <n v="3"/>
    <x v="1"/>
    <n v="5714"/>
    <n v="5829"/>
    <n v="1"/>
    <s v="Y"/>
    <x v="1"/>
    <n v="20"/>
    <n v="4"/>
    <n v="1"/>
    <n v="80"/>
    <n v="0"/>
    <n v="6"/>
    <n v="3"/>
    <n v="2"/>
    <n v="6"/>
    <n v="5"/>
    <n v="1"/>
    <n v="3"/>
  </r>
  <r>
    <x v="10"/>
    <x v="1"/>
    <x v="0"/>
    <n v="528"/>
    <x v="2"/>
    <n v="8"/>
    <n v="4"/>
    <x v="4"/>
    <x v="0"/>
    <x v="835"/>
    <n v="3"/>
    <x v="1"/>
    <n v="100"/>
    <n v="3"/>
    <n v="1"/>
    <x v="8"/>
    <n v="3"/>
    <x v="0"/>
    <n v="4323"/>
    <n v="7108"/>
    <n v="1"/>
    <s v="Y"/>
    <x v="1"/>
    <n v="17"/>
    <n v="3"/>
    <n v="2"/>
    <n v="80"/>
    <n v="0"/>
    <n v="6"/>
    <n v="2"/>
    <n v="1"/>
    <n v="5"/>
    <n v="4"/>
    <n v="1"/>
    <n v="4"/>
  </r>
  <r>
    <x v="11"/>
    <x v="0"/>
    <x v="0"/>
    <n v="408"/>
    <x v="0"/>
    <n v="23"/>
    <n v="1"/>
    <x v="0"/>
    <x v="0"/>
    <x v="836"/>
    <n v="4"/>
    <x v="0"/>
    <n v="45"/>
    <n v="2"/>
    <n v="3"/>
    <x v="0"/>
    <n v="1"/>
    <x v="1"/>
    <n v="7336"/>
    <n v="11162"/>
    <n v="1"/>
    <s v="Y"/>
    <x v="1"/>
    <n v="13"/>
    <n v="3"/>
    <n v="1"/>
    <n v="80"/>
    <n v="1"/>
    <n v="11"/>
    <n v="3"/>
    <n v="1"/>
    <n v="11"/>
    <n v="8"/>
    <n v="3"/>
    <n v="10"/>
  </r>
  <r>
    <x v="32"/>
    <x v="1"/>
    <x v="1"/>
    <n v="593"/>
    <x v="1"/>
    <n v="9"/>
    <n v="4"/>
    <x v="2"/>
    <x v="0"/>
    <x v="837"/>
    <n v="2"/>
    <x v="0"/>
    <n v="88"/>
    <n v="3"/>
    <n v="3"/>
    <x v="7"/>
    <n v="3"/>
    <x v="0"/>
    <n v="13499"/>
    <n v="13782"/>
    <n v="9"/>
    <s v="Y"/>
    <x v="1"/>
    <n v="17"/>
    <n v="3"/>
    <n v="3"/>
    <n v="80"/>
    <n v="0"/>
    <n v="20"/>
    <n v="3"/>
    <n v="2"/>
    <n v="18"/>
    <n v="7"/>
    <n v="2"/>
    <n v="13"/>
  </r>
  <r>
    <x v="19"/>
    <x v="0"/>
    <x v="1"/>
    <n v="481"/>
    <x v="0"/>
    <n v="12"/>
    <n v="3"/>
    <x v="0"/>
    <x v="0"/>
    <x v="838"/>
    <n v="3"/>
    <x v="1"/>
    <n v="44"/>
    <n v="3"/>
    <n v="4"/>
    <x v="0"/>
    <n v="1"/>
    <x v="0"/>
    <n v="13758"/>
    <n v="2447"/>
    <n v="0"/>
    <s v="Y"/>
    <x v="0"/>
    <n v="12"/>
    <n v="3"/>
    <n v="2"/>
    <n v="80"/>
    <n v="0"/>
    <n v="22"/>
    <n v="2"/>
    <n v="2"/>
    <n v="21"/>
    <n v="9"/>
    <n v="13"/>
    <n v="14"/>
  </r>
  <r>
    <x v="19"/>
    <x v="1"/>
    <x v="0"/>
    <n v="647"/>
    <x v="0"/>
    <n v="4"/>
    <n v="4"/>
    <x v="3"/>
    <x v="0"/>
    <x v="839"/>
    <n v="2"/>
    <x v="1"/>
    <n v="45"/>
    <n v="3"/>
    <n v="2"/>
    <x v="0"/>
    <n v="1"/>
    <x v="0"/>
    <n v="5155"/>
    <n v="2253"/>
    <n v="7"/>
    <s v="Y"/>
    <x v="1"/>
    <n v="13"/>
    <n v="3"/>
    <n v="4"/>
    <n v="80"/>
    <n v="0"/>
    <n v="9"/>
    <n v="3"/>
    <n v="4"/>
    <n v="6"/>
    <n v="4"/>
    <n v="1"/>
    <n v="5"/>
  </r>
  <r>
    <x v="10"/>
    <x v="1"/>
    <x v="0"/>
    <n v="982"/>
    <x v="1"/>
    <n v="1"/>
    <n v="4"/>
    <x v="2"/>
    <x v="0"/>
    <x v="840"/>
    <n v="4"/>
    <x v="1"/>
    <n v="58"/>
    <n v="2"/>
    <n v="1"/>
    <x v="2"/>
    <n v="3"/>
    <x v="1"/>
    <n v="2258"/>
    <n v="16340"/>
    <n v="6"/>
    <s v="Y"/>
    <x v="1"/>
    <n v="12"/>
    <n v="3"/>
    <n v="2"/>
    <n v="80"/>
    <n v="1"/>
    <n v="10"/>
    <n v="2"/>
    <n v="3"/>
    <n v="8"/>
    <n v="0"/>
    <n v="1"/>
    <n v="7"/>
  </r>
  <r>
    <x v="17"/>
    <x v="1"/>
    <x v="0"/>
    <n v="477"/>
    <x v="1"/>
    <n v="24"/>
    <n v="3"/>
    <x v="2"/>
    <x v="0"/>
    <x v="841"/>
    <n v="4"/>
    <x v="1"/>
    <n v="49"/>
    <n v="3"/>
    <n v="1"/>
    <x v="2"/>
    <n v="2"/>
    <x v="0"/>
    <n v="3597"/>
    <n v="6409"/>
    <n v="8"/>
    <s v="Y"/>
    <x v="1"/>
    <n v="22"/>
    <n v="4"/>
    <n v="4"/>
    <n v="80"/>
    <n v="0"/>
    <n v="6"/>
    <n v="2"/>
    <n v="3"/>
    <n v="4"/>
    <n v="3"/>
    <n v="1"/>
    <n v="2"/>
  </r>
  <r>
    <x v="14"/>
    <x v="0"/>
    <x v="0"/>
    <n v="1485"/>
    <x v="1"/>
    <n v="12"/>
    <n v="1"/>
    <x v="0"/>
    <x v="0"/>
    <x v="842"/>
    <n v="3"/>
    <x v="0"/>
    <n v="79"/>
    <n v="3"/>
    <n v="1"/>
    <x v="2"/>
    <n v="4"/>
    <x v="1"/>
    <n v="2515"/>
    <n v="22955"/>
    <n v="1"/>
    <s v="Y"/>
    <x v="0"/>
    <n v="11"/>
    <n v="3"/>
    <n v="4"/>
    <n v="80"/>
    <n v="0"/>
    <n v="1"/>
    <n v="4"/>
    <n v="2"/>
    <n v="1"/>
    <n v="1"/>
    <n v="0"/>
    <n v="0"/>
  </r>
  <r>
    <x v="25"/>
    <x v="1"/>
    <x v="0"/>
    <n v="1384"/>
    <x v="1"/>
    <n v="3"/>
    <n v="4"/>
    <x v="2"/>
    <x v="0"/>
    <x v="843"/>
    <n v="1"/>
    <x v="1"/>
    <n v="82"/>
    <n v="4"/>
    <n v="1"/>
    <x v="2"/>
    <n v="4"/>
    <x v="1"/>
    <n v="4420"/>
    <n v="13421"/>
    <n v="1"/>
    <s v="Y"/>
    <x v="1"/>
    <n v="22"/>
    <n v="4"/>
    <n v="2"/>
    <n v="80"/>
    <n v="1"/>
    <n v="8"/>
    <n v="2"/>
    <n v="3"/>
    <n v="8"/>
    <n v="7"/>
    <n v="0"/>
    <n v="7"/>
  </r>
  <r>
    <x v="7"/>
    <x v="1"/>
    <x v="0"/>
    <n v="852"/>
    <x v="0"/>
    <n v="10"/>
    <n v="3"/>
    <x v="3"/>
    <x v="0"/>
    <x v="844"/>
    <n v="3"/>
    <x v="1"/>
    <n v="72"/>
    <n v="2"/>
    <n v="2"/>
    <x v="0"/>
    <n v="3"/>
    <x v="1"/>
    <n v="6578"/>
    <n v="2706"/>
    <n v="1"/>
    <s v="Y"/>
    <x v="1"/>
    <n v="18"/>
    <n v="3"/>
    <n v="1"/>
    <n v="80"/>
    <n v="1"/>
    <n v="10"/>
    <n v="3"/>
    <n v="3"/>
    <n v="10"/>
    <n v="3"/>
    <n v="1"/>
    <n v="4"/>
  </r>
  <r>
    <x v="32"/>
    <x v="1"/>
    <x v="1"/>
    <n v="902"/>
    <x v="1"/>
    <n v="26"/>
    <n v="2"/>
    <x v="2"/>
    <x v="0"/>
    <x v="845"/>
    <n v="3"/>
    <x v="0"/>
    <n v="92"/>
    <n v="2"/>
    <n v="2"/>
    <x v="1"/>
    <n v="4"/>
    <x v="1"/>
    <n v="4422"/>
    <n v="21203"/>
    <n v="3"/>
    <s v="Y"/>
    <x v="0"/>
    <n v="13"/>
    <n v="3"/>
    <n v="4"/>
    <n v="80"/>
    <n v="1"/>
    <n v="16"/>
    <n v="3"/>
    <n v="1"/>
    <n v="1"/>
    <n v="1"/>
    <n v="0"/>
    <n v="0"/>
  </r>
  <r>
    <x v="10"/>
    <x v="1"/>
    <x v="0"/>
    <n v="819"/>
    <x v="1"/>
    <n v="2"/>
    <n v="3"/>
    <x v="0"/>
    <x v="0"/>
    <x v="846"/>
    <n v="3"/>
    <x v="1"/>
    <n v="44"/>
    <n v="2"/>
    <n v="3"/>
    <x v="3"/>
    <n v="2"/>
    <x v="2"/>
    <n v="10274"/>
    <n v="19588"/>
    <n v="2"/>
    <s v="Y"/>
    <x v="1"/>
    <n v="18"/>
    <n v="3"/>
    <n v="2"/>
    <n v="80"/>
    <n v="1"/>
    <n v="15"/>
    <n v="2"/>
    <n v="4"/>
    <n v="7"/>
    <n v="7"/>
    <n v="6"/>
    <n v="4"/>
  </r>
  <r>
    <x v="13"/>
    <x v="1"/>
    <x v="1"/>
    <n v="669"/>
    <x v="1"/>
    <n v="1"/>
    <n v="3"/>
    <x v="2"/>
    <x v="0"/>
    <x v="847"/>
    <n v="4"/>
    <x v="1"/>
    <n v="97"/>
    <n v="2"/>
    <n v="2"/>
    <x v="4"/>
    <n v="1"/>
    <x v="0"/>
    <n v="5343"/>
    <n v="25755"/>
    <n v="0"/>
    <s v="Y"/>
    <x v="1"/>
    <n v="20"/>
    <n v="4"/>
    <n v="3"/>
    <n v="80"/>
    <n v="0"/>
    <n v="14"/>
    <n v="3"/>
    <n v="3"/>
    <n v="13"/>
    <n v="9"/>
    <n v="4"/>
    <n v="9"/>
  </r>
  <r>
    <x v="10"/>
    <x v="1"/>
    <x v="1"/>
    <n v="636"/>
    <x v="1"/>
    <n v="4"/>
    <n v="4"/>
    <x v="1"/>
    <x v="0"/>
    <x v="848"/>
    <n v="4"/>
    <x v="1"/>
    <n v="47"/>
    <n v="2"/>
    <n v="1"/>
    <x v="2"/>
    <n v="4"/>
    <x v="1"/>
    <n v="2376"/>
    <n v="26537"/>
    <n v="1"/>
    <s v="Y"/>
    <x v="1"/>
    <n v="13"/>
    <n v="3"/>
    <n v="2"/>
    <n v="80"/>
    <n v="1"/>
    <n v="2"/>
    <n v="2"/>
    <n v="4"/>
    <n v="2"/>
    <n v="2"/>
    <n v="2"/>
    <n v="2"/>
  </r>
  <r>
    <x v="23"/>
    <x v="0"/>
    <x v="0"/>
    <n v="1372"/>
    <x v="0"/>
    <n v="9"/>
    <n v="3"/>
    <x v="3"/>
    <x v="0"/>
    <x v="849"/>
    <n v="1"/>
    <x v="0"/>
    <n v="85"/>
    <n v="1"/>
    <n v="2"/>
    <x v="0"/>
    <n v="3"/>
    <x v="0"/>
    <n v="5346"/>
    <n v="9489"/>
    <n v="8"/>
    <s v="Y"/>
    <x v="1"/>
    <n v="13"/>
    <n v="3"/>
    <n v="2"/>
    <n v="80"/>
    <n v="0"/>
    <n v="7"/>
    <n v="2"/>
    <n v="2"/>
    <n v="4"/>
    <n v="3"/>
    <n v="1"/>
    <n v="3"/>
  </r>
  <r>
    <x v="5"/>
    <x v="1"/>
    <x v="2"/>
    <n v="862"/>
    <x v="0"/>
    <n v="2"/>
    <n v="1"/>
    <x v="0"/>
    <x v="0"/>
    <x v="850"/>
    <n v="3"/>
    <x v="0"/>
    <n v="76"/>
    <n v="3"/>
    <n v="1"/>
    <x v="6"/>
    <n v="1"/>
    <x v="2"/>
    <n v="2827"/>
    <n v="14947"/>
    <n v="1"/>
    <s v="Y"/>
    <x v="1"/>
    <n v="12"/>
    <n v="3"/>
    <n v="3"/>
    <n v="80"/>
    <n v="3"/>
    <n v="1"/>
    <n v="3"/>
    <n v="3"/>
    <n v="1"/>
    <n v="0"/>
    <n v="0"/>
    <n v="0"/>
  </r>
  <r>
    <x v="29"/>
    <x v="1"/>
    <x v="0"/>
    <n v="718"/>
    <x v="1"/>
    <n v="4"/>
    <n v="4"/>
    <x v="4"/>
    <x v="0"/>
    <x v="851"/>
    <n v="4"/>
    <x v="0"/>
    <n v="92"/>
    <n v="3"/>
    <n v="5"/>
    <x v="5"/>
    <n v="1"/>
    <x v="2"/>
    <n v="19943"/>
    <n v="18575"/>
    <n v="4"/>
    <s v="Y"/>
    <x v="1"/>
    <n v="13"/>
    <n v="3"/>
    <n v="4"/>
    <n v="80"/>
    <n v="1"/>
    <n v="28"/>
    <n v="2"/>
    <n v="3"/>
    <n v="5"/>
    <n v="2"/>
    <n v="4"/>
    <n v="2"/>
  </r>
  <r>
    <x v="11"/>
    <x v="1"/>
    <x v="0"/>
    <n v="1401"/>
    <x v="1"/>
    <n v="6"/>
    <n v="1"/>
    <x v="2"/>
    <x v="0"/>
    <x v="852"/>
    <n v="2"/>
    <x v="0"/>
    <n v="54"/>
    <n v="3"/>
    <n v="1"/>
    <x v="2"/>
    <n v="4"/>
    <x v="1"/>
    <n v="3131"/>
    <n v="26342"/>
    <n v="1"/>
    <s v="Y"/>
    <x v="1"/>
    <n v="13"/>
    <n v="3"/>
    <n v="1"/>
    <n v="80"/>
    <n v="1"/>
    <n v="10"/>
    <n v="5"/>
    <n v="3"/>
    <n v="10"/>
    <n v="8"/>
    <n v="0"/>
    <n v="8"/>
  </r>
  <r>
    <x v="37"/>
    <x v="1"/>
    <x v="0"/>
    <n v="645"/>
    <x v="1"/>
    <n v="9"/>
    <n v="2"/>
    <x v="0"/>
    <x v="0"/>
    <x v="853"/>
    <n v="3"/>
    <x v="1"/>
    <n v="54"/>
    <n v="3"/>
    <n v="1"/>
    <x v="1"/>
    <n v="1"/>
    <x v="0"/>
    <n v="2552"/>
    <n v="7172"/>
    <n v="1"/>
    <s v="Y"/>
    <x v="1"/>
    <n v="25"/>
    <n v="4"/>
    <n v="3"/>
    <n v="80"/>
    <n v="0"/>
    <n v="1"/>
    <n v="4"/>
    <n v="3"/>
    <n v="1"/>
    <n v="1"/>
    <n v="0"/>
    <n v="0"/>
  </r>
  <r>
    <x v="28"/>
    <x v="1"/>
    <x v="0"/>
    <n v="1457"/>
    <x v="1"/>
    <n v="7"/>
    <n v="3"/>
    <x v="2"/>
    <x v="0"/>
    <x v="854"/>
    <n v="1"/>
    <x v="0"/>
    <n v="83"/>
    <n v="3"/>
    <n v="1"/>
    <x v="1"/>
    <n v="3"/>
    <x v="1"/>
    <n v="4477"/>
    <n v="20100"/>
    <n v="4"/>
    <s v="Y"/>
    <x v="0"/>
    <n v="19"/>
    <n v="3"/>
    <n v="3"/>
    <n v="80"/>
    <n v="1"/>
    <n v="7"/>
    <n v="2"/>
    <n v="2"/>
    <n v="3"/>
    <n v="2"/>
    <n v="0"/>
    <n v="2"/>
  </r>
  <r>
    <x v="2"/>
    <x v="1"/>
    <x v="0"/>
    <n v="977"/>
    <x v="1"/>
    <n v="1"/>
    <n v="3"/>
    <x v="0"/>
    <x v="0"/>
    <x v="855"/>
    <n v="4"/>
    <x v="0"/>
    <n v="56"/>
    <n v="2"/>
    <n v="2"/>
    <x v="3"/>
    <n v="4"/>
    <x v="1"/>
    <n v="6474"/>
    <n v="9961"/>
    <n v="1"/>
    <s v="Y"/>
    <x v="1"/>
    <n v="13"/>
    <n v="3"/>
    <n v="2"/>
    <n v="80"/>
    <n v="1"/>
    <n v="14"/>
    <n v="2"/>
    <n v="2"/>
    <n v="14"/>
    <n v="8"/>
    <n v="3"/>
    <n v="11"/>
  </r>
  <r>
    <x v="35"/>
    <x v="1"/>
    <x v="0"/>
    <n v="805"/>
    <x v="1"/>
    <n v="3"/>
    <n v="3"/>
    <x v="0"/>
    <x v="0"/>
    <x v="856"/>
    <n v="1"/>
    <x v="1"/>
    <n v="87"/>
    <n v="2"/>
    <n v="1"/>
    <x v="2"/>
    <n v="3"/>
    <x v="0"/>
    <n v="3033"/>
    <n v="12828"/>
    <n v="1"/>
    <s v="Y"/>
    <x v="1"/>
    <n v="12"/>
    <n v="3"/>
    <n v="1"/>
    <n v="80"/>
    <n v="0"/>
    <n v="2"/>
    <n v="2"/>
    <n v="2"/>
    <n v="2"/>
    <n v="2"/>
    <n v="1"/>
    <n v="2"/>
  </r>
  <r>
    <x v="20"/>
    <x v="0"/>
    <x v="0"/>
    <n v="1097"/>
    <x v="1"/>
    <n v="10"/>
    <n v="4"/>
    <x v="0"/>
    <x v="0"/>
    <x v="857"/>
    <n v="3"/>
    <x v="1"/>
    <n v="96"/>
    <n v="3"/>
    <n v="1"/>
    <x v="1"/>
    <n v="3"/>
    <x v="0"/>
    <n v="2936"/>
    <n v="10826"/>
    <n v="1"/>
    <s v="Y"/>
    <x v="0"/>
    <n v="11"/>
    <n v="3"/>
    <n v="3"/>
    <n v="80"/>
    <n v="0"/>
    <n v="6"/>
    <n v="4"/>
    <n v="3"/>
    <n v="6"/>
    <n v="4"/>
    <n v="0"/>
    <n v="2"/>
  </r>
  <r>
    <x v="16"/>
    <x v="1"/>
    <x v="0"/>
    <n v="1223"/>
    <x v="1"/>
    <n v="7"/>
    <n v="2"/>
    <x v="2"/>
    <x v="0"/>
    <x v="858"/>
    <n v="4"/>
    <x v="0"/>
    <n v="50"/>
    <n v="3"/>
    <n v="5"/>
    <x v="5"/>
    <n v="3"/>
    <x v="2"/>
    <n v="18606"/>
    <n v="18640"/>
    <n v="3"/>
    <s v="Y"/>
    <x v="1"/>
    <n v="18"/>
    <n v="3"/>
    <n v="2"/>
    <n v="80"/>
    <n v="1"/>
    <n v="26"/>
    <n v="6"/>
    <n v="3"/>
    <n v="7"/>
    <n v="7"/>
    <n v="4"/>
    <n v="7"/>
  </r>
  <r>
    <x v="11"/>
    <x v="1"/>
    <x v="0"/>
    <n v="942"/>
    <x v="1"/>
    <n v="15"/>
    <n v="1"/>
    <x v="0"/>
    <x v="0"/>
    <x v="859"/>
    <n v="2"/>
    <x v="0"/>
    <n v="69"/>
    <n v="1"/>
    <n v="1"/>
    <x v="1"/>
    <n v="4"/>
    <x v="1"/>
    <n v="2168"/>
    <n v="26933"/>
    <n v="0"/>
    <s v="Y"/>
    <x v="0"/>
    <n v="18"/>
    <n v="3"/>
    <n v="1"/>
    <n v="80"/>
    <n v="1"/>
    <n v="6"/>
    <n v="2"/>
    <n v="2"/>
    <n v="5"/>
    <n v="4"/>
    <n v="1"/>
    <n v="3"/>
  </r>
  <r>
    <x v="15"/>
    <x v="0"/>
    <x v="1"/>
    <n v="1256"/>
    <x v="1"/>
    <n v="3"/>
    <n v="4"/>
    <x v="0"/>
    <x v="0"/>
    <x v="860"/>
    <n v="3"/>
    <x v="1"/>
    <n v="48"/>
    <n v="2"/>
    <n v="1"/>
    <x v="1"/>
    <n v="4"/>
    <x v="1"/>
    <n v="2853"/>
    <n v="4223"/>
    <n v="0"/>
    <s v="Y"/>
    <x v="0"/>
    <n v="11"/>
    <n v="3"/>
    <n v="2"/>
    <n v="80"/>
    <n v="1"/>
    <n v="1"/>
    <n v="5"/>
    <n v="3"/>
    <n v="0"/>
    <n v="0"/>
    <n v="0"/>
    <n v="0"/>
  </r>
  <r>
    <x v="21"/>
    <x v="1"/>
    <x v="0"/>
    <n v="1402"/>
    <x v="0"/>
    <n v="2"/>
    <n v="3"/>
    <x v="3"/>
    <x v="0"/>
    <x v="861"/>
    <n v="3"/>
    <x v="0"/>
    <n v="69"/>
    <n v="3"/>
    <n v="4"/>
    <x v="5"/>
    <n v="1"/>
    <x v="1"/>
    <n v="17048"/>
    <n v="24097"/>
    <n v="8"/>
    <s v="Y"/>
    <x v="1"/>
    <n v="23"/>
    <n v="4"/>
    <n v="1"/>
    <n v="80"/>
    <n v="0"/>
    <n v="28"/>
    <n v="2"/>
    <n v="3"/>
    <n v="26"/>
    <n v="15"/>
    <n v="15"/>
    <n v="9"/>
  </r>
  <r>
    <x v="20"/>
    <x v="1"/>
    <x v="2"/>
    <n v="111"/>
    <x v="1"/>
    <n v="17"/>
    <n v="3"/>
    <x v="0"/>
    <x v="0"/>
    <x v="862"/>
    <n v="4"/>
    <x v="1"/>
    <n v="74"/>
    <n v="1"/>
    <n v="1"/>
    <x v="1"/>
    <n v="3"/>
    <x v="0"/>
    <n v="2290"/>
    <n v="4279"/>
    <n v="2"/>
    <s v="Y"/>
    <x v="1"/>
    <n v="13"/>
    <n v="3"/>
    <n v="4"/>
    <n v="80"/>
    <n v="0"/>
    <n v="6"/>
    <n v="3"/>
    <n v="3"/>
    <n v="0"/>
    <n v="0"/>
    <n v="0"/>
    <n v="0"/>
  </r>
  <r>
    <x v="3"/>
    <x v="1"/>
    <x v="0"/>
    <n v="147"/>
    <x v="2"/>
    <n v="2"/>
    <n v="3"/>
    <x v="5"/>
    <x v="0"/>
    <x v="863"/>
    <n v="2"/>
    <x v="1"/>
    <n v="99"/>
    <n v="3"/>
    <n v="1"/>
    <x v="8"/>
    <n v="3"/>
    <x v="1"/>
    <n v="3600"/>
    <n v="8429"/>
    <n v="1"/>
    <s v="Y"/>
    <x v="1"/>
    <n v="13"/>
    <n v="3"/>
    <n v="4"/>
    <n v="80"/>
    <n v="1"/>
    <n v="5"/>
    <n v="2"/>
    <n v="3"/>
    <n v="5"/>
    <n v="4"/>
    <n v="1"/>
    <n v="4"/>
  </r>
  <r>
    <x v="0"/>
    <x v="0"/>
    <x v="2"/>
    <n v="906"/>
    <x v="1"/>
    <n v="5"/>
    <n v="2"/>
    <x v="0"/>
    <x v="0"/>
    <x v="864"/>
    <n v="1"/>
    <x v="1"/>
    <n v="95"/>
    <n v="2"/>
    <n v="1"/>
    <x v="1"/>
    <n v="1"/>
    <x v="2"/>
    <n v="2107"/>
    <n v="20293"/>
    <n v="6"/>
    <s v="Y"/>
    <x v="1"/>
    <n v="17"/>
    <n v="3"/>
    <n v="1"/>
    <n v="80"/>
    <n v="1"/>
    <n v="5"/>
    <n v="2"/>
    <n v="1"/>
    <n v="1"/>
    <n v="0"/>
    <n v="0"/>
    <n v="0"/>
  </r>
  <r>
    <x v="7"/>
    <x v="1"/>
    <x v="0"/>
    <n v="1329"/>
    <x v="0"/>
    <n v="29"/>
    <n v="4"/>
    <x v="0"/>
    <x v="0"/>
    <x v="865"/>
    <n v="3"/>
    <x v="1"/>
    <n v="61"/>
    <n v="3"/>
    <n v="2"/>
    <x v="0"/>
    <n v="1"/>
    <x v="2"/>
    <n v="4115"/>
    <n v="13192"/>
    <n v="8"/>
    <s v="Y"/>
    <x v="1"/>
    <n v="19"/>
    <n v="3"/>
    <n v="3"/>
    <n v="80"/>
    <n v="3"/>
    <n v="8"/>
    <n v="3"/>
    <n v="3"/>
    <n v="4"/>
    <n v="3"/>
    <n v="0"/>
    <n v="3"/>
  </r>
  <r>
    <x v="32"/>
    <x v="1"/>
    <x v="1"/>
    <n v="1184"/>
    <x v="0"/>
    <n v="2"/>
    <n v="4"/>
    <x v="2"/>
    <x v="0"/>
    <x v="866"/>
    <n v="2"/>
    <x v="1"/>
    <n v="62"/>
    <n v="3"/>
    <n v="2"/>
    <x v="0"/>
    <n v="2"/>
    <x v="1"/>
    <n v="4327"/>
    <n v="25440"/>
    <n v="5"/>
    <s v="Y"/>
    <x v="1"/>
    <n v="12"/>
    <n v="3"/>
    <n v="4"/>
    <n v="80"/>
    <n v="3"/>
    <n v="5"/>
    <n v="2"/>
    <n v="3"/>
    <n v="0"/>
    <n v="0"/>
    <n v="0"/>
    <n v="0"/>
  </r>
  <r>
    <x v="24"/>
    <x v="1"/>
    <x v="1"/>
    <n v="1421"/>
    <x v="1"/>
    <n v="2"/>
    <n v="3"/>
    <x v="2"/>
    <x v="0"/>
    <x v="867"/>
    <n v="4"/>
    <x v="0"/>
    <n v="30"/>
    <n v="3"/>
    <n v="4"/>
    <x v="5"/>
    <n v="1"/>
    <x v="1"/>
    <n v="17856"/>
    <n v="9490"/>
    <n v="2"/>
    <s v="Y"/>
    <x v="1"/>
    <n v="22"/>
    <n v="4"/>
    <n v="3"/>
    <n v="80"/>
    <n v="1"/>
    <n v="32"/>
    <n v="3"/>
    <n v="3"/>
    <n v="2"/>
    <n v="2"/>
    <n v="2"/>
    <n v="2"/>
  </r>
  <r>
    <x v="14"/>
    <x v="1"/>
    <x v="0"/>
    <n v="1179"/>
    <x v="1"/>
    <n v="19"/>
    <n v="4"/>
    <x v="2"/>
    <x v="0"/>
    <x v="868"/>
    <n v="4"/>
    <x v="1"/>
    <n v="78"/>
    <n v="2"/>
    <n v="1"/>
    <x v="2"/>
    <n v="1"/>
    <x v="1"/>
    <n v="3196"/>
    <n v="12449"/>
    <n v="1"/>
    <s v="Y"/>
    <x v="1"/>
    <n v="12"/>
    <n v="3"/>
    <n v="3"/>
    <n v="80"/>
    <n v="3"/>
    <n v="6"/>
    <n v="2"/>
    <n v="3"/>
    <n v="6"/>
    <n v="5"/>
    <n v="3"/>
    <n v="3"/>
  </r>
  <r>
    <x v="21"/>
    <x v="1"/>
    <x v="0"/>
    <n v="1450"/>
    <x v="1"/>
    <n v="15"/>
    <n v="2"/>
    <x v="0"/>
    <x v="0"/>
    <x v="869"/>
    <n v="4"/>
    <x v="1"/>
    <n v="52"/>
    <n v="3"/>
    <n v="5"/>
    <x v="7"/>
    <n v="2"/>
    <x v="1"/>
    <n v="19081"/>
    <n v="10849"/>
    <n v="5"/>
    <s v="Y"/>
    <x v="1"/>
    <n v="11"/>
    <n v="3"/>
    <n v="1"/>
    <n v="80"/>
    <n v="1"/>
    <n v="25"/>
    <n v="2"/>
    <n v="3"/>
    <n v="4"/>
    <n v="2"/>
    <n v="0"/>
    <n v="3"/>
  </r>
  <r>
    <x v="10"/>
    <x v="1"/>
    <x v="0"/>
    <n v="1361"/>
    <x v="0"/>
    <n v="17"/>
    <n v="4"/>
    <x v="0"/>
    <x v="0"/>
    <x v="870"/>
    <n v="3"/>
    <x v="1"/>
    <n v="94"/>
    <n v="3"/>
    <n v="2"/>
    <x v="0"/>
    <n v="1"/>
    <x v="1"/>
    <n v="8966"/>
    <n v="21026"/>
    <n v="3"/>
    <s v="Y"/>
    <x v="0"/>
    <n v="15"/>
    <n v="3"/>
    <n v="4"/>
    <n v="80"/>
    <n v="3"/>
    <n v="15"/>
    <n v="2"/>
    <n v="3"/>
    <n v="7"/>
    <n v="7"/>
    <n v="1"/>
    <n v="7"/>
  </r>
  <r>
    <x v="17"/>
    <x v="0"/>
    <x v="0"/>
    <n v="984"/>
    <x v="1"/>
    <n v="17"/>
    <n v="2"/>
    <x v="0"/>
    <x v="0"/>
    <x v="871"/>
    <n v="4"/>
    <x v="0"/>
    <n v="97"/>
    <n v="3"/>
    <n v="1"/>
    <x v="2"/>
    <n v="2"/>
    <x v="1"/>
    <n v="2210"/>
    <n v="3372"/>
    <n v="1"/>
    <s v="Y"/>
    <x v="1"/>
    <n v="13"/>
    <n v="3"/>
    <n v="1"/>
    <n v="80"/>
    <n v="1"/>
    <n v="1"/>
    <n v="3"/>
    <n v="1"/>
    <n v="1"/>
    <n v="0"/>
    <n v="0"/>
    <n v="0"/>
  </r>
  <r>
    <x v="3"/>
    <x v="1"/>
    <x v="1"/>
    <n v="1146"/>
    <x v="0"/>
    <n v="25"/>
    <n v="3"/>
    <x v="2"/>
    <x v="0"/>
    <x v="872"/>
    <n v="2"/>
    <x v="0"/>
    <n v="82"/>
    <n v="3"/>
    <n v="2"/>
    <x v="0"/>
    <n v="3"/>
    <x v="1"/>
    <n v="4539"/>
    <n v="4905"/>
    <n v="1"/>
    <s v="Y"/>
    <x v="1"/>
    <n v="12"/>
    <n v="3"/>
    <n v="1"/>
    <n v="80"/>
    <n v="1"/>
    <n v="10"/>
    <n v="3"/>
    <n v="2"/>
    <n v="10"/>
    <n v="7"/>
    <n v="0"/>
    <n v="1"/>
  </r>
  <r>
    <x v="9"/>
    <x v="1"/>
    <x v="0"/>
    <n v="917"/>
    <x v="1"/>
    <n v="6"/>
    <n v="4"/>
    <x v="0"/>
    <x v="0"/>
    <x v="873"/>
    <n v="3"/>
    <x v="1"/>
    <n v="60"/>
    <n v="1"/>
    <n v="1"/>
    <x v="2"/>
    <n v="3"/>
    <x v="2"/>
    <n v="2741"/>
    <n v="6865"/>
    <n v="1"/>
    <s v="Y"/>
    <x v="1"/>
    <n v="14"/>
    <n v="3"/>
    <n v="3"/>
    <n v="80"/>
    <n v="1"/>
    <n v="7"/>
    <n v="4"/>
    <n v="3"/>
    <n v="7"/>
    <n v="7"/>
    <n v="1"/>
    <n v="7"/>
  </r>
  <r>
    <x v="7"/>
    <x v="1"/>
    <x v="0"/>
    <n v="853"/>
    <x v="1"/>
    <n v="7"/>
    <n v="4"/>
    <x v="0"/>
    <x v="0"/>
    <x v="874"/>
    <n v="3"/>
    <x v="1"/>
    <n v="49"/>
    <n v="3"/>
    <n v="2"/>
    <x v="2"/>
    <n v="3"/>
    <x v="2"/>
    <n v="3491"/>
    <n v="11309"/>
    <n v="1"/>
    <s v="Y"/>
    <x v="1"/>
    <n v="13"/>
    <n v="3"/>
    <n v="1"/>
    <n v="80"/>
    <n v="3"/>
    <n v="10"/>
    <n v="4"/>
    <n v="2"/>
    <n v="10"/>
    <n v="7"/>
    <n v="8"/>
    <n v="9"/>
  </r>
  <r>
    <x v="20"/>
    <x v="1"/>
    <x v="0"/>
    <n v="200"/>
    <x v="1"/>
    <n v="29"/>
    <n v="4"/>
    <x v="1"/>
    <x v="0"/>
    <x v="875"/>
    <n v="4"/>
    <x v="1"/>
    <n v="32"/>
    <n v="3"/>
    <n v="2"/>
    <x v="1"/>
    <n v="4"/>
    <x v="0"/>
    <n v="4541"/>
    <n v="7744"/>
    <n v="1"/>
    <s v="Y"/>
    <x v="1"/>
    <n v="25"/>
    <n v="4"/>
    <n v="2"/>
    <n v="80"/>
    <n v="0"/>
    <n v="20"/>
    <n v="3"/>
    <n v="3"/>
    <n v="20"/>
    <n v="11"/>
    <n v="13"/>
    <n v="17"/>
  </r>
  <r>
    <x v="35"/>
    <x v="1"/>
    <x v="0"/>
    <n v="654"/>
    <x v="0"/>
    <n v="21"/>
    <n v="3"/>
    <x v="3"/>
    <x v="0"/>
    <x v="876"/>
    <n v="3"/>
    <x v="1"/>
    <n v="43"/>
    <n v="4"/>
    <n v="1"/>
    <x v="6"/>
    <n v="4"/>
    <x v="0"/>
    <n v="2678"/>
    <n v="5050"/>
    <n v="1"/>
    <s v="Y"/>
    <x v="1"/>
    <n v="17"/>
    <n v="3"/>
    <n v="4"/>
    <n v="80"/>
    <n v="0"/>
    <n v="2"/>
    <n v="2"/>
    <n v="3"/>
    <n v="2"/>
    <n v="1"/>
    <n v="2"/>
    <n v="2"/>
  </r>
  <r>
    <x v="21"/>
    <x v="1"/>
    <x v="0"/>
    <n v="150"/>
    <x v="1"/>
    <n v="2"/>
    <n v="4"/>
    <x v="4"/>
    <x v="0"/>
    <x v="877"/>
    <n v="4"/>
    <x v="1"/>
    <n v="60"/>
    <n v="3"/>
    <n v="2"/>
    <x v="3"/>
    <n v="4"/>
    <x v="2"/>
    <n v="7379"/>
    <n v="17433"/>
    <n v="2"/>
    <s v="Y"/>
    <x v="1"/>
    <n v="11"/>
    <n v="3"/>
    <n v="3"/>
    <n v="80"/>
    <n v="1"/>
    <n v="12"/>
    <n v="3"/>
    <n v="2"/>
    <n v="6"/>
    <n v="3"/>
    <n v="1"/>
    <n v="4"/>
  </r>
  <r>
    <x v="19"/>
    <x v="1"/>
    <x v="2"/>
    <n v="179"/>
    <x v="2"/>
    <n v="2"/>
    <n v="5"/>
    <x v="2"/>
    <x v="0"/>
    <x v="878"/>
    <n v="4"/>
    <x v="1"/>
    <n v="79"/>
    <n v="4"/>
    <n v="2"/>
    <x v="8"/>
    <n v="1"/>
    <x v="1"/>
    <n v="6272"/>
    <n v="12858"/>
    <n v="7"/>
    <s v="Y"/>
    <x v="1"/>
    <n v="16"/>
    <n v="3"/>
    <n v="1"/>
    <n v="80"/>
    <n v="1"/>
    <n v="10"/>
    <n v="3"/>
    <n v="4"/>
    <n v="4"/>
    <n v="3"/>
    <n v="0"/>
    <n v="3"/>
  </r>
  <r>
    <x v="42"/>
    <x v="1"/>
    <x v="0"/>
    <n v="696"/>
    <x v="0"/>
    <n v="7"/>
    <n v="4"/>
    <x v="3"/>
    <x v="0"/>
    <x v="879"/>
    <n v="2"/>
    <x v="1"/>
    <n v="52"/>
    <n v="4"/>
    <n v="2"/>
    <x v="0"/>
    <n v="4"/>
    <x v="2"/>
    <n v="5220"/>
    <n v="10893"/>
    <n v="0"/>
    <s v="Y"/>
    <x v="0"/>
    <n v="18"/>
    <n v="3"/>
    <n v="2"/>
    <n v="80"/>
    <n v="1"/>
    <n v="12"/>
    <n v="3"/>
    <n v="3"/>
    <n v="11"/>
    <n v="7"/>
    <n v="1"/>
    <n v="9"/>
  </r>
  <r>
    <x v="5"/>
    <x v="1"/>
    <x v="1"/>
    <n v="116"/>
    <x v="1"/>
    <n v="13"/>
    <n v="3"/>
    <x v="1"/>
    <x v="0"/>
    <x v="880"/>
    <n v="3"/>
    <x v="0"/>
    <n v="77"/>
    <n v="2"/>
    <n v="1"/>
    <x v="2"/>
    <n v="2"/>
    <x v="1"/>
    <n v="2743"/>
    <n v="7331"/>
    <n v="1"/>
    <s v="Y"/>
    <x v="1"/>
    <n v="20"/>
    <n v="4"/>
    <n v="3"/>
    <n v="80"/>
    <n v="1"/>
    <n v="2"/>
    <n v="2"/>
    <n v="3"/>
    <n v="2"/>
    <n v="2"/>
    <n v="2"/>
    <n v="2"/>
  </r>
  <r>
    <x v="5"/>
    <x v="1"/>
    <x v="1"/>
    <n v="1316"/>
    <x v="1"/>
    <n v="2"/>
    <n v="2"/>
    <x v="0"/>
    <x v="0"/>
    <x v="881"/>
    <n v="4"/>
    <x v="0"/>
    <n v="38"/>
    <n v="3"/>
    <n v="2"/>
    <x v="1"/>
    <n v="3"/>
    <x v="0"/>
    <n v="4998"/>
    <n v="2338"/>
    <n v="4"/>
    <s v="Y"/>
    <x v="0"/>
    <n v="14"/>
    <n v="3"/>
    <n v="4"/>
    <n v="80"/>
    <n v="0"/>
    <n v="10"/>
    <n v="2"/>
    <n v="3"/>
    <n v="8"/>
    <n v="7"/>
    <n v="0"/>
    <n v="7"/>
  </r>
  <r>
    <x v="9"/>
    <x v="1"/>
    <x v="0"/>
    <n v="363"/>
    <x v="1"/>
    <n v="1"/>
    <n v="3"/>
    <x v="4"/>
    <x v="0"/>
    <x v="882"/>
    <n v="3"/>
    <x v="0"/>
    <n v="77"/>
    <n v="1"/>
    <n v="3"/>
    <x v="3"/>
    <n v="1"/>
    <x v="2"/>
    <n v="10252"/>
    <n v="4235"/>
    <n v="2"/>
    <s v="Y"/>
    <x v="0"/>
    <n v="21"/>
    <n v="4"/>
    <n v="3"/>
    <n v="80"/>
    <n v="1"/>
    <n v="17"/>
    <n v="2"/>
    <n v="3"/>
    <n v="7"/>
    <n v="7"/>
    <n v="7"/>
    <n v="7"/>
  </r>
  <r>
    <x v="3"/>
    <x v="1"/>
    <x v="0"/>
    <n v="117"/>
    <x v="1"/>
    <n v="9"/>
    <n v="3"/>
    <x v="2"/>
    <x v="0"/>
    <x v="883"/>
    <n v="1"/>
    <x v="1"/>
    <n v="60"/>
    <n v="3"/>
    <n v="1"/>
    <x v="1"/>
    <n v="4"/>
    <x v="1"/>
    <n v="2781"/>
    <n v="6311"/>
    <n v="0"/>
    <s v="Y"/>
    <x v="1"/>
    <n v="13"/>
    <n v="3"/>
    <n v="2"/>
    <n v="80"/>
    <n v="1"/>
    <n v="15"/>
    <n v="5"/>
    <n v="3"/>
    <n v="14"/>
    <n v="10"/>
    <n v="4"/>
    <n v="10"/>
  </r>
  <r>
    <x v="32"/>
    <x v="1"/>
    <x v="0"/>
    <n v="107"/>
    <x v="0"/>
    <n v="10"/>
    <n v="3"/>
    <x v="4"/>
    <x v="0"/>
    <x v="884"/>
    <n v="2"/>
    <x v="0"/>
    <n v="84"/>
    <n v="2"/>
    <n v="2"/>
    <x v="0"/>
    <n v="2"/>
    <x v="2"/>
    <n v="6852"/>
    <n v="11591"/>
    <n v="7"/>
    <s v="Y"/>
    <x v="1"/>
    <n v="12"/>
    <n v="3"/>
    <n v="2"/>
    <n v="80"/>
    <n v="1"/>
    <n v="7"/>
    <n v="2"/>
    <n v="4"/>
    <n v="5"/>
    <n v="1"/>
    <n v="1"/>
    <n v="3"/>
  </r>
  <r>
    <x v="36"/>
    <x v="1"/>
    <x v="0"/>
    <n v="1356"/>
    <x v="0"/>
    <n v="10"/>
    <n v="4"/>
    <x v="0"/>
    <x v="0"/>
    <x v="885"/>
    <n v="3"/>
    <x v="1"/>
    <n v="57"/>
    <n v="3"/>
    <n v="2"/>
    <x v="0"/>
    <n v="4"/>
    <x v="0"/>
    <n v="4950"/>
    <n v="20623"/>
    <n v="0"/>
    <s v="Y"/>
    <x v="1"/>
    <n v="14"/>
    <n v="3"/>
    <n v="2"/>
    <n v="80"/>
    <n v="0"/>
    <n v="5"/>
    <n v="4"/>
    <n v="3"/>
    <n v="4"/>
    <n v="3"/>
    <n v="1"/>
    <n v="1"/>
  </r>
  <r>
    <x v="7"/>
    <x v="1"/>
    <x v="0"/>
    <n v="1465"/>
    <x v="1"/>
    <n v="1"/>
    <n v="3"/>
    <x v="2"/>
    <x v="0"/>
    <x v="886"/>
    <n v="4"/>
    <x v="1"/>
    <n v="63"/>
    <n v="3"/>
    <n v="1"/>
    <x v="1"/>
    <n v="2"/>
    <x v="1"/>
    <n v="3579"/>
    <n v="9369"/>
    <n v="0"/>
    <s v="Y"/>
    <x v="0"/>
    <n v="21"/>
    <n v="4"/>
    <n v="1"/>
    <n v="80"/>
    <n v="1"/>
    <n v="12"/>
    <n v="2"/>
    <n v="3"/>
    <n v="11"/>
    <n v="9"/>
    <n v="5"/>
    <n v="7"/>
  </r>
  <r>
    <x v="19"/>
    <x v="1"/>
    <x v="1"/>
    <n v="458"/>
    <x v="1"/>
    <n v="26"/>
    <n v="5"/>
    <x v="2"/>
    <x v="0"/>
    <x v="887"/>
    <n v="1"/>
    <x v="0"/>
    <n v="60"/>
    <n v="3"/>
    <n v="3"/>
    <x v="7"/>
    <n v="1"/>
    <x v="1"/>
    <n v="13191"/>
    <n v="23281"/>
    <n v="3"/>
    <s v="Y"/>
    <x v="0"/>
    <n v="17"/>
    <n v="3"/>
    <n v="3"/>
    <n v="80"/>
    <n v="0"/>
    <n v="20"/>
    <n v="6"/>
    <n v="3"/>
    <n v="1"/>
    <n v="0"/>
    <n v="0"/>
    <n v="0"/>
  </r>
  <r>
    <x v="10"/>
    <x v="1"/>
    <x v="2"/>
    <n v="1212"/>
    <x v="0"/>
    <n v="8"/>
    <n v="2"/>
    <x v="3"/>
    <x v="0"/>
    <x v="888"/>
    <n v="3"/>
    <x v="0"/>
    <n v="78"/>
    <n v="2"/>
    <n v="3"/>
    <x v="0"/>
    <n v="4"/>
    <x v="1"/>
    <n v="10377"/>
    <n v="13755"/>
    <n v="4"/>
    <s v="Y"/>
    <x v="0"/>
    <n v="11"/>
    <n v="3"/>
    <n v="2"/>
    <n v="80"/>
    <n v="1"/>
    <n v="16"/>
    <n v="6"/>
    <n v="2"/>
    <n v="13"/>
    <n v="2"/>
    <n v="4"/>
    <n v="12"/>
  </r>
  <r>
    <x v="4"/>
    <x v="1"/>
    <x v="0"/>
    <n v="1103"/>
    <x v="1"/>
    <n v="14"/>
    <n v="3"/>
    <x v="0"/>
    <x v="0"/>
    <x v="889"/>
    <n v="1"/>
    <x v="1"/>
    <n v="42"/>
    <n v="3"/>
    <n v="1"/>
    <x v="1"/>
    <n v="1"/>
    <x v="1"/>
    <n v="2235"/>
    <n v="14377"/>
    <n v="1"/>
    <s v="Y"/>
    <x v="0"/>
    <n v="14"/>
    <n v="3"/>
    <n v="4"/>
    <n v="80"/>
    <n v="2"/>
    <n v="9"/>
    <n v="3"/>
    <n v="2"/>
    <n v="9"/>
    <n v="7"/>
    <n v="6"/>
    <n v="8"/>
  </r>
  <r>
    <x v="33"/>
    <x v="1"/>
    <x v="1"/>
    <n v="966"/>
    <x v="1"/>
    <n v="1"/>
    <n v="4"/>
    <x v="0"/>
    <x v="0"/>
    <x v="890"/>
    <n v="4"/>
    <x v="0"/>
    <n v="53"/>
    <n v="3"/>
    <n v="3"/>
    <x v="3"/>
    <n v="3"/>
    <x v="2"/>
    <n v="10502"/>
    <n v="9659"/>
    <n v="7"/>
    <s v="Y"/>
    <x v="1"/>
    <n v="17"/>
    <n v="3"/>
    <n v="1"/>
    <n v="80"/>
    <n v="1"/>
    <n v="33"/>
    <n v="2"/>
    <n v="1"/>
    <n v="5"/>
    <n v="4"/>
    <n v="1"/>
    <n v="4"/>
  </r>
  <r>
    <x v="20"/>
    <x v="1"/>
    <x v="0"/>
    <n v="1117"/>
    <x v="1"/>
    <n v="2"/>
    <n v="1"/>
    <x v="0"/>
    <x v="0"/>
    <x v="891"/>
    <n v="1"/>
    <x v="0"/>
    <n v="72"/>
    <n v="4"/>
    <n v="1"/>
    <x v="1"/>
    <n v="4"/>
    <x v="1"/>
    <n v="2011"/>
    <n v="19982"/>
    <n v="1"/>
    <s v="Y"/>
    <x v="1"/>
    <n v="13"/>
    <n v="3"/>
    <n v="4"/>
    <n v="80"/>
    <n v="1"/>
    <n v="10"/>
    <n v="5"/>
    <n v="3"/>
    <n v="10"/>
    <n v="5"/>
    <n v="7"/>
    <n v="7"/>
  </r>
  <r>
    <x v="37"/>
    <x v="0"/>
    <x v="2"/>
    <n v="504"/>
    <x v="1"/>
    <n v="10"/>
    <n v="3"/>
    <x v="2"/>
    <x v="0"/>
    <x v="892"/>
    <n v="1"/>
    <x v="0"/>
    <n v="96"/>
    <n v="2"/>
    <n v="1"/>
    <x v="1"/>
    <n v="2"/>
    <x v="0"/>
    <n v="1859"/>
    <n v="6148"/>
    <n v="1"/>
    <s v="Y"/>
    <x v="0"/>
    <n v="25"/>
    <n v="4"/>
    <n v="2"/>
    <n v="80"/>
    <n v="0"/>
    <n v="1"/>
    <n v="2"/>
    <n v="4"/>
    <n v="1"/>
    <n v="1"/>
    <n v="0"/>
    <n v="0"/>
  </r>
  <r>
    <x v="11"/>
    <x v="1"/>
    <x v="0"/>
    <n v="1010"/>
    <x v="1"/>
    <n v="1"/>
    <n v="3"/>
    <x v="0"/>
    <x v="0"/>
    <x v="893"/>
    <n v="1"/>
    <x v="0"/>
    <n v="97"/>
    <n v="3"/>
    <n v="1"/>
    <x v="1"/>
    <n v="4"/>
    <x v="2"/>
    <n v="3760"/>
    <n v="5598"/>
    <n v="1"/>
    <s v="Y"/>
    <x v="1"/>
    <n v="15"/>
    <n v="3"/>
    <n v="1"/>
    <n v="80"/>
    <n v="3"/>
    <n v="3"/>
    <n v="5"/>
    <n v="3"/>
    <n v="3"/>
    <n v="2"/>
    <n v="1"/>
    <n v="2"/>
  </r>
  <r>
    <x v="33"/>
    <x v="1"/>
    <x v="0"/>
    <n v="685"/>
    <x v="1"/>
    <n v="3"/>
    <n v="3"/>
    <x v="0"/>
    <x v="0"/>
    <x v="894"/>
    <n v="4"/>
    <x v="1"/>
    <n v="85"/>
    <n v="3"/>
    <n v="4"/>
    <x v="7"/>
    <n v="4"/>
    <x v="1"/>
    <n v="17779"/>
    <n v="23474"/>
    <n v="3"/>
    <s v="Y"/>
    <x v="1"/>
    <n v="14"/>
    <n v="3"/>
    <n v="1"/>
    <n v="80"/>
    <n v="0"/>
    <n v="36"/>
    <n v="2"/>
    <n v="3"/>
    <n v="10"/>
    <n v="9"/>
    <n v="0"/>
    <n v="9"/>
  </r>
  <r>
    <x v="12"/>
    <x v="1"/>
    <x v="0"/>
    <n v="1332"/>
    <x v="1"/>
    <n v="11"/>
    <n v="2"/>
    <x v="2"/>
    <x v="0"/>
    <x v="895"/>
    <n v="3"/>
    <x v="1"/>
    <n v="80"/>
    <n v="3"/>
    <n v="2"/>
    <x v="4"/>
    <n v="1"/>
    <x v="1"/>
    <n v="6833"/>
    <n v="17089"/>
    <n v="1"/>
    <s v="Y"/>
    <x v="0"/>
    <n v="12"/>
    <n v="3"/>
    <n v="4"/>
    <n v="80"/>
    <n v="0"/>
    <n v="6"/>
    <n v="2"/>
    <n v="2"/>
    <n v="6"/>
    <n v="5"/>
    <n v="0"/>
    <n v="1"/>
  </r>
  <r>
    <x v="12"/>
    <x v="1"/>
    <x v="0"/>
    <n v="1062"/>
    <x v="1"/>
    <n v="24"/>
    <n v="3"/>
    <x v="2"/>
    <x v="0"/>
    <x v="896"/>
    <n v="3"/>
    <x v="0"/>
    <n v="96"/>
    <n v="2"/>
    <n v="2"/>
    <x v="4"/>
    <n v="1"/>
    <x v="0"/>
    <n v="6812"/>
    <n v="17198"/>
    <n v="1"/>
    <s v="Y"/>
    <x v="1"/>
    <n v="19"/>
    <n v="3"/>
    <n v="2"/>
    <n v="80"/>
    <n v="0"/>
    <n v="10"/>
    <n v="2"/>
    <n v="3"/>
    <n v="10"/>
    <n v="9"/>
    <n v="1"/>
    <n v="8"/>
  </r>
  <r>
    <x v="6"/>
    <x v="1"/>
    <x v="0"/>
    <n v="326"/>
    <x v="0"/>
    <n v="3"/>
    <n v="3"/>
    <x v="0"/>
    <x v="0"/>
    <x v="897"/>
    <n v="3"/>
    <x v="0"/>
    <n v="48"/>
    <n v="2"/>
    <n v="2"/>
    <x v="0"/>
    <n v="4"/>
    <x v="0"/>
    <n v="5171"/>
    <n v="16490"/>
    <n v="5"/>
    <s v="Y"/>
    <x v="1"/>
    <n v="17"/>
    <n v="3"/>
    <n v="4"/>
    <n v="80"/>
    <n v="0"/>
    <n v="13"/>
    <n v="2"/>
    <n v="3"/>
    <n v="6"/>
    <n v="1"/>
    <n v="0"/>
    <n v="5"/>
  </r>
  <r>
    <x v="23"/>
    <x v="1"/>
    <x v="0"/>
    <n v="920"/>
    <x v="1"/>
    <n v="3"/>
    <n v="3"/>
    <x v="0"/>
    <x v="0"/>
    <x v="898"/>
    <n v="3"/>
    <x v="1"/>
    <n v="96"/>
    <n v="1"/>
    <n v="5"/>
    <x v="7"/>
    <n v="4"/>
    <x v="1"/>
    <n v="19740"/>
    <n v="18625"/>
    <n v="3"/>
    <s v="Y"/>
    <x v="1"/>
    <n v="14"/>
    <n v="3"/>
    <n v="2"/>
    <n v="80"/>
    <n v="1"/>
    <n v="25"/>
    <n v="2"/>
    <n v="3"/>
    <n v="8"/>
    <n v="7"/>
    <n v="0"/>
    <n v="7"/>
  </r>
  <r>
    <x v="1"/>
    <x v="1"/>
    <x v="0"/>
    <n v="1098"/>
    <x v="1"/>
    <n v="4"/>
    <n v="2"/>
    <x v="2"/>
    <x v="0"/>
    <x v="899"/>
    <n v="1"/>
    <x v="1"/>
    <n v="85"/>
    <n v="2"/>
    <n v="5"/>
    <x v="5"/>
    <n v="3"/>
    <x v="1"/>
    <n v="18711"/>
    <n v="12124"/>
    <n v="2"/>
    <s v="Y"/>
    <x v="1"/>
    <n v="13"/>
    <n v="3"/>
    <n v="3"/>
    <n v="80"/>
    <n v="1"/>
    <n v="23"/>
    <n v="2"/>
    <n v="4"/>
    <n v="1"/>
    <n v="0"/>
    <n v="0"/>
    <n v="0"/>
  </r>
  <r>
    <x v="9"/>
    <x v="1"/>
    <x v="1"/>
    <n v="469"/>
    <x v="1"/>
    <n v="3"/>
    <n v="3"/>
    <x v="4"/>
    <x v="0"/>
    <x v="900"/>
    <n v="3"/>
    <x v="1"/>
    <n v="46"/>
    <n v="3"/>
    <n v="1"/>
    <x v="1"/>
    <n v="2"/>
    <x v="1"/>
    <n v="3692"/>
    <n v="9256"/>
    <n v="1"/>
    <s v="Y"/>
    <x v="1"/>
    <n v="12"/>
    <n v="3"/>
    <n v="3"/>
    <n v="80"/>
    <n v="0"/>
    <n v="12"/>
    <n v="2"/>
    <n v="2"/>
    <n v="11"/>
    <n v="10"/>
    <n v="0"/>
    <n v="7"/>
  </r>
  <r>
    <x v="26"/>
    <x v="1"/>
    <x v="0"/>
    <n v="969"/>
    <x v="1"/>
    <n v="2"/>
    <n v="2"/>
    <x v="4"/>
    <x v="0"/>
    <x v="901"/>
    <n v="4"/>
    <x v="1"/>
    <n v="76"/>
    <n v="4"/>
    <n v="1"/>
    <x v="2"/>
    <n v="2"/>
    <x v="0"/>
    <n v="2559"/>
    <n v="16620"/>
    <n v="5"/>
    <s v="Y"/>
    <x v="1"/>
    <n v="11"/>
    <n v="3"/>
    <n v="3"/>
    <n v="80"/>
    <n v="0"/>
    <n v="7"/>
    <n v="4"/>
    <n v="2"/>
    <n v="1"/>
    <n v="0"/>
    <n v="0"/>
    <n v="0"/>
  </r>
  <r>
    <x v="4"/>
    <x v="1"/>
    <x v="0"/>
    <n v="1167"/>
    <x v="1"/>
    <n v="4"/>
    <n v="2"/>
    <x v="0"/>
    <x v="0"/>
    <x v="902"/>
    <n v="1"/>
    <x v="1"/>
    <n v="76"/>
    <n v="3"/>
    <n v="1"/>
    <x v="1"/>
    <n v="3"/>
    <x v="2"/>
    <n v="2517"/>
    <n v="3208"/>
    <n v="1"/>
    <s v="Y"/>
    <x v="1"/>
    <n v="11"/>
    <n v="3"/>
    <n v="2"/>
    <n v="80"/>
    <n v="3"/>
    <n v="5"/>
    <n v="2"/>
    <n v="3"/>
    <n v="5"/>
    <n v="3"/>
    <n v="0"/>
    <n v="3"/>
  </r>
  <r>
    <x v="11"/>
    <x v="1"/>
    <x v="0"/>
    <n v="1329"/>
    <x v="1"/>
    <n v="7"/>
    <n v="3"/>
    <x v="0"/>
    <x v="0"/>
    <x v="903"/>
    <n v="3"/>
    <x v="1"/>
    <n v="82"/>
    <n v="3"/>
    <n v="2"/>
    <x v="4"/>
    <n v="4"/>
    <x v="2"/>
    <n v="6623"/>
    <n v="4204"/>
    <n v="1"/>
    <s v="Y"/>
    <x v="0"/>
    <n v="11"/>
    <n v="3"/>
    <n v="2"/>
    <n v="80"/>
    <n v="2"/>
    <n v="6"/>
    <n v="2"/>
    <n v="3"/>
    <n v="6"/>
    <n v="0"/>
    <n v="1"/>
    <n v="0"/>
  </r>
  <r>
    <x v="26"/>
    <x v="1"/>
    <x v="0"/>
    <n v="715"/>
    <x v="1"/>
    <n v="1"/>
    <n v="3"/>
    <x v="0"/>
    <x v="0"/>
    <x v="904"/>
    <n v="4"/>
    <x v="1"/>
    <n v="76"/>
    <n v="2"/>
    <n v="5"/>
    <x v="7"/>
    <n v="4"/>
    <x v="0"/>
    <n v="18265"/>
    <n v="8733"/>
    <n v="6"/>
    <s v="Y"/>
    <x v="1"/>
    <n v="12"/>
    <n v="3"/>
    <n v="3"/>
    <n v="80"/>
    <n v="0"/>
    <n v="25"/>
    <n v="3"/>
    <n v="4"/>
    <n v="1"/>
    <n v="0"/>
    <n v="0"/>
    <n v="0"/>
  </r>
  <r>
    <x v="11"/>
    <x v="1"/>
    <x v="0"/>
    <n v="694"/>
    <x v="1"/>
    <n v="1"/>
    <n v="3"/>
    <x v="0"/>
    <x v="0"/>
    <x v="905"/>
    <n v="4"/>
    <x v="0"/>
    <n v="87"/>
    <n v="2"/>
    <n v="4"/>
    <x v="7"/>
    <n v="4"/>
    <x v="2"/>
    <n v="16124"/>
    <n v="3423"/>
    <n v="3"/>
    <s v="Y"/>
    <x v="1"/>
    <n v="14"/>
    <n v="3"/>
    <n v="2"/>
    <n v="80"/>
    <n v="2"/>
    <n v="9"/>
    <n v="2"/>
    <n v="2"/>
    <n v="7"/>
    <n v="7"/>
    <n v="1"/>
    <n v="7"/>
  </r>
  <r>
    <x v="13"/>
    <x v="1"/>
    <x v="0"/>
    <n v="1320"/>
    <x v="1"/>
    <n v="20"/>
    <n v="3"/>
    <x v="4"/>
    <x v="0"/>
    <x v="906"/>
    <n v="3"/>
    <x v="0"/>
    <n v="89"/>
    <n v="4"/>
    <n v="1"/>
    <x v="1"/>
    <n v="3"/>
    <x v="1"/>
    <n v="2585"/>
    <n v="21643"/>
    <n v="0"/>
    <s v="Y"/>
    <x v="1"/>
    <n v="17"/>
    <n v="3"/>
    <n v="4"/>
    <n v="80"/>
    <n v="0"/>
    <n v="2"/>
    <n v="5"/>
    <n v="2"/>
    <n v="1"/>
    <n v="0"/>
    <n v="0"/>
    <n v="0"/>
  </r>
  <r>
    <x v="20"/>
    <x v="1"/>
    <x v="0"/>
    <n v="1099"/>
    <x v="0"/>
    <n v="5"/>
    <n v="3"/>
    <x v="3"/>
    <x v="0"/>
    <x v="907"/>
    <n v="2"/>
    <x v="1"/>
    <n v="88"/>
    <n v="3"/>
    <n v="5"/>
    <x v="5"/>
    <n v="2"/>
    <x v="1"/>
    <n v="18213"/>
    <n v="8751"/>
    <n v="7"/>
    <s v="Y"/>
    <x v="1"/>
    <n v="11"/>
    <n v="3"/>
    <n v="3"/>
    <n v="80"/>
    <n v="1"/>
    <n v="26"/>
    <n v="5"/>
    <n v="3"/>
    <n v="22"/>
    <n v="9"/>
    <n v="3"/>
    <n v="10"/>
  </r>
  <r>
    <x v="3"/>
    <x v="1"/>
    <x v="0"/>
    <n v="536"/>
    <x v="0"/>
    <n v="10"/>
    <n v="5"/>
    <x v="3"/>
    <x v="0"/>
    <x v="908"/>
    <n v="4"/>
    <x v="1"/>
    <n v="82"/>
    <n v="4"/>
    <n v="3"/>
    <x v="0"/>
    <n v="3"/>
    <x v="2"/>
    <n v="8380"/>
    <n v="21708"/>
    <n v="0"/>
    <s v="Y"/>
    <x v="0"/>
    <n v="14"/>
    <n v="3"/>
    <n v="4"/>
    <n v="80"/>
    <n v="2"/>
    <n v="10"/>
    <n v="3"/>
    <n v="3"/>
    <n v="9"/>
    <n v="8"/>
    <n v="0"/>
    <n v="8"/>
  </r>
  <r>
    <x v="37"/>
    <x v="1"/>
    <x v="0"/>
    <n v="265"/>
    <x v="1"/>
    <n v="25"/>
    <n v="3"/>
    <x v="0"/>
    <x v="0"/>
    <x v="909"/>
    <n v="2"/>
    <x v="0"/>
    <n v="57"/>
    <n v="4"/>
    <n v="1"/>
    <x v="1"/>
    <n v="4"/>
    <x v="0"/>
    <n v="2994"/>
    <n v="21221"/>
    <n v="1"/>
    <s v="Y"/>
    <x v="0"/>
    <n v="12"/>
    <n v="3"/>
    <n v="4"/>
    <n v="80"/>
    <n v="0"/>
    <n v="1"/>
    <n v="2"/>
    <n v="3"/>
    <n v="1"/>
    <n v="0"/>
    <n v="0"/>
    <n v="1"/>
  </r>
  <r>
    <x v="30"/>
    <x v="1"/>
    <x v="0"/>
    <n v="373"/>
    <x v="1"/>
    <n v="1"/>
    <n v="2"/>
    <x v="0"/>
    <x v="0"/>
    <x v="910"/>
    <n v="4"/>
    <x v="1"/>
    <n v="47"/>
    <n v="3"/>
    <n v="1"/>
    <x v="1"/>
    <n v="3"/>
    <x v="1"/>
    <n v="1223"/>
    <n v="16901"/>
    <n v="1"/>
    <s v="Y"/>
    <x v="1"/>
    <n v="22"/>
    <n v="4"/>
    <n v="4"/>
    <n v="80"/>
    <n v="1"/>
    <n v="1"/>
    <n v="2"/>
    <n v="3"/>
    <n v="1"/>
    <n v="0"/>
    <n v="0"/>
    <n v="1"/>
  </r>
  <r>
    <x v="36"/>
    <x v="0"/>
    <x v="1"/>
    <n v="599"/>
    <x v="0"/>
    <n v="24"/>
    <n v="1"/>
    <x v="0"/>
    <x v="0"/>
    <x v="911"/>
    <n v="3"/>
    <x v="1"/>
    <n v="73"/>
    <n v="1"/>
    <n v="1"/>
    <x v="6"/>
    <n v="4"/>
    <x v="0"/>
    <n v="1118"/>
    <n v="8040"/>
    <n v="1"/>
    <s v="Y"/>
    <x v="0"/>
    <n v="14"/>
    <n v="3"/>
    <n v="4"/>
    <n v="80"/>
    <n v="0"/>
    <n v="1"/>
    <n v="4"/>
    <n v="3"/>
    <n v="1"/>
    <n v="0"/>
    <n v="1"/>
    <n v="0"/>
  </r>
  <r>
    <x v="25"/>
    <x v="1"/>
    <x v="0"/>
    <n v="583"/>
    <x v="1"/>
    <n v="4"/>
    <n v="2"/>
    <x v="0"/>
    <x v="0"/>
    <x v="912"/>
    <n v="3"/>
    <x v="1"/>
    <n v="53"/>
    <n v="3"/>
    <n v="1"/>
    <x v="1"/>
    <n v="4"/>
    <x v="0"/>
    <n v="2875"/>
    <n v="9973"/>
    <n v="1"/>
    <s v="Y"/>
    <x v="0"/>
    <n v="20"/>
    <n v="4"/>
    <n v="2"/>
    <n v="80"/>
    <n v="0"/>
    <n v="8"/>
    <n v="2"/>
    <n v="2"/>
    <n v="8"/>
    <n v="5"/>
    <n v="2"/>
    <n v="2"/>
  </r>
  <r>
    <x v="28"/>
    <x v="0"/>
    <x v="0"/>
    <n v="1449"/>
    <x v="0"/>
    <n v="2"/>
    <n v="3"/>
    <x v="3"/>
    <x v="0"/>
    <x v="913"/>
    <n v="1"/>
    <x v="0"/>
    <n v="94"/>
    <n v="1"/>
    <n v="5"/>
    <x v="5"/>
    <n v="2"/>
    <x v="0"/>
    <n v="18824"/>
    <n v="2493"/>
    <n v="2"/>
    <s v="Y"/>
    <x v="0"/>
    <n v="16"/>
    <n v="3"/>
    <n v="1"/>
    <n v="80"/>
    <n v="0"/>
    <n v="26"/>
    <n v="2"/>
    <n v="3"/>
    <n v="24"/>
    <n v="10"/>
    <n v="1"/>
    <n v="11"/>
  </r>
  <r>
    <x v="27"/>
    <x v="1"/>
    <x v="2"/>
    <n v="177"/>
    <x v="1"/>
    <n v="8"/>
    <n v="1"/>
    <x v="2"/>
    <x v="0"/>
    <x v="914"/>
    <n v="4"/>
    <x v="1"/>
    <n v="37"/>
    <n v="2"/>
    <n v="4"/>
    <x v="4"/>
    <n v="2"/>
    <x v="2"/>
    <n v="13577"/>
    <n v="25592"/>
    <n v="1"/>
    <s v="Y"/>
    <x v="0"/>
    <n v="15"/>
    <n v="3"/>
    <n v="4"/>
    <n v="80"/>
    <n v="1"/>
    <n v="34"/>
    <n v="3"/>
    <n v="3"/>
    <n v="33"/>
    <n v="9"/>
    <n v="15"/>
    <n v="0"/>
  </r>
  <r>
    <x v="18"/>
    <x v="0"/>
    <x v="1"/>
    <n v="251"/>
    <x v="1"/>
    <n v="10"/>
    <n v="2"/>
    <x v="0"/>
    <x v="0"/>
    <x v="915"/>
    <n v="1"/>
    <x v="0"/>
    <n v="45"/>
    <n v="2"/>
    <n v="1"/>
    <x v="2"/>
    <n v="3"/>
    <x v="0"/>
    <n v="2625"/>
    <n v="25308"/>
    <n v="1"/>
    <s v="Y"/>
    <x v="1"/>
    <n v="20"/>
    <n v="4"/>
    <n v="3"/>
    <n v="80"/>
    <n v="0"/>
    <n v="2"/>
    <n v="2"/>
    <n v="1"/>
    <n v="2"/>
    <n v="2"/>
    <n v="2"/>
    <n v="2"/>
  </r>
  <r>
    <x v="21"/>
    <x v="1"/>
    <x v="0"/>
    <n v="168"/>
    <x v="0"/>
    <n v="4"/>
    <n v="2"/>
    <x v="3"/>
    <x v="0"/>
    <x v="916"/>
    <n v="4"/>
    <x v="0"/>
    <n v="33"/>
    <n v="2"/>
    <n v="5"/>
    <x v="5"/>
    <n v="2"/>
    <x v="1"/>
    <n v="18789"/>
    <n v="9946"/>
    <n v="2"/>
    <s v="Y"/>
    <x v="1"/>
    <n v="14"/>
    <n v="3"/>
    <n v="3"/>
    <n v="80"/>
    <n v="1"/>
    <n v="26"/>
    <n v="2"/>
    <n v="3"/>
    <n v="11"/>
    <n v="4"/>
    <n v="0"/>
    <n v="8"/>
  </r>
  <r>
    <x v="13"/>
    <x v="1"/>
    <x v="0"/>
    <n v="131"/>
    <x v="0"/>
    <n v="2"/>
    <n v="3"/>
    <x v="3"/>
    <x v="0"/>
    <x v="917"/>
    <n v="3"/>
    <x v="0"/>
    <n v="86"/>
    <n v="3"/>
    <n v="2"/>
    <x v="0"/>
    <n v="1"/>
    <x v="0"/>
    <n v="4538"/>
    <n v="6039"/>
    <n v="0"/>
    <s v="Y"/>
    <x v="0"/>
    <n v="12"/>
    <n v="3"/>
    <n v="4"/>
    <n v="80"/>
    <n v="0"/>
    <n v="4"/>
    <n v="3"/>
    <n v="3"/>
    <n v="3"/>
    <n v="2"/>
    <n v="0"/>
    <n v="2"/>
  </r>
  <r>
    <x v="31"/>
    <x v="1"/>
    <x v="1"/>
    <n v="237"/>
    <x v="0"/>
    <n v="9"/>
    <n v="3"/>
    <x v="0"/>
    <x v="0"/>
    <x v="918"/>
    <n v="4"/>
    <x v="1"/>
    <n v="83"/>
    <n v="3"/>
    <n v="5"/>
    <x v="5"/>
    <n v="2"/>
    <x v="2"/>
    <n v="19847"/>
    <n v="19196"/>
    <n v="4"/>
    <s v="Y"/>
    <x v="0"/>
    <n v="24"/>
    <n v="4"/>
    <n v="1"/>
    <n v="80"/>
    <n v="1"/>
    <n v="31"/>
    <n v="5"/>
    <n v="2"/>
    <n v="29"/>
    <n v="10"/>
    <n v="11"/>
    <n v="10"/>
  </r>
  <r>
    <x v="6"/>
    <x v="1"/>
    <x v="0"/>
    <n v="1429"/>
    <x v="1"/>
    <n v="18"/>
    <n v="4"/>
    <x v="2"/>
    <x v="0"/>
    <x v="919"/>
    <n v="4"/>
    <x v="1"/>
    <n v="67"/>
    <n v="3"/>
    <n v="3"/>
    <x v="3"/>
    <n v="4"/>
    <x v="0"/>
    <n v="10512"/>
    <n v="20002"/>
    <n v="6"/>
    <s v="Y"/>
    <x v="1"/>
    <n v="12"/>
    <n v="3"/>
    <n v="4"/>
    <n v="80"/>
    <n v="0"/>
    <n v="25"/>
    <n v="6"/>
    <n v="2"/>
    <n v="9"/>
    <n v="7"/>
    <n v="5"/>
    <n v="4"/>
  </r>
  <r>
    <x v="13"/>
    <x v="1"/>
    <x v="1"/>
    <n v="135"/>
    <x v="1"/>
    <n v="19"/>
    <n v="3"/>
    <x v="2"/>
    <x v="0"/>
    <x v="920"/>
    <n v="3"/>
    <x v="0"/>
    <n v="46"/>
    <n v="3"/>
    <n v="2"/>
    <x v="2"/>
    <n v="2"/>
    <x v="2"/>
    <n v="4444"/>
    <n v="22534"/>
    <n v="4"/>
    <s v="Y"/>
    <x v="1"/>
    <n v="13"/>
    <n v="3"/>
    <n v="3"/>
    <n v="80"/>
    <n v="2"/>
    <n v="15"/>
    <n v="2"/>
    <n v="4"/>
    <n v="11"/>
    <n v="8"/>
    <n v="5"/>
    <n v="10"/>
  </r>
  <r>
    <x v="14"/>
    <x v="1"/>
    <x v="1"/>
    <n v="791"/>
    <x v="1"/>
    <n v="1"/>
    <n v="4"/>
    <x v="2"/>
    <x v="0"/>
    <x v="921"/>
    <n v="4"/>
    <x v="1"/>
    <n v="44"/>
    <n v="3"/>
    <n v="1"/>
    <x v="2"/>
    <n v="3"/>
    <x v="0"/>
    <n v="2154"/>
    <n v="6842"/>
    <n v="0"/>
    <s v="Y"/>
    <x v="0"/>
    <n v="11"/>
    <n v="3"/>
    <n v="3"/>
    <n v="80"/>
    <n v="0"/>
    <n v="5"/>
    <n v="2"/>
    <n v="2"/>
    <n v="4"/>
    <n v="2"/>
    <n v="0"/>
    <n v="2"/>
  </r>
  <r>
    <x v="20"/>
    <x v="1"/>
    <x v="0"/>
    <n v="1199"/>
    <x v="1"/>
    <n v="4"/>
    <n v="2"/>
    <x v="0"/>
    <x v="0"/>
    <x v="922"/>
    <n v="3"/>
    <x v="1"/>
    <n v="92"/>
    <n v="4"/>
    <n v="5"/>
    <x v="5"/>
    <n v="1"/>
    <x v="2"/>
    <n v="19190"/>
    <n v="17477"/>
    <n v="1"/>
    <s v="Y"/>
    <x v="1"/>
    <n v="14"/>
    <n v="3"/>
    <n v="4"/>
    <n v="80"/>
    <n v="2"/>
    <n v="26"/>
    <n v="4"/>
    <n v="2"/>
    <n v="25"/>
    <n v="9"/>
    <n v="14"/>
    <n v="13"/>
  </r>
  <r>
    <x v="13"/>
    <x v="1"/>
    <x v="1"/>
    <n v="648"/>
    <x v="2"/>
    <n v="11"/>
    <n v="3"/>
    <x v="0"/>
    <x v="0"/>
    <x v="923"/>
    <n v="3"/>
    <x v="1"/>
    <n v="56"/>
    <n v="2"/>
    <n v="2"/>
    <x v="8"/>
    <n v="2"/>
    <x v="1"/>
    <n v="4490"/>
    <n v="21833"/>
    <n v="4"/>
    <s v="Y"/>
    <x v="1"/>
    <n v="11"/>
    <n v="3"/>
    <n v="4"/>
    <n v="80"/>
    <n v="2"/>
    <n v="14"/>
    <n v="5"/>
    <n v="4"/>
    <n v="10"/>
    <n v="9"/>
    <n v="1"/>
    <n v="8"/>
  </r>
  <r>
    <x v="10"/>
    <x v="1"/>
    <x v="0"/>
    <n v="735"/>
    <x v="1"/>
    <n v="6"/>
    <n v="1"/>
    <x v="0"/>
    <x v="0"/>
    <x v="924"/>
    <n v="3"/>
    <x v="1"/>
    <n v="66"/>
    <n v="3"/>
    <n v="1"/>
    <x v="1"/>
    <n v="3"/>
    <x v="1"/>
    <n v="3506"/>
    <n v="6020"/>
    <n v="0"/>
    <s v="Y"/>
    <x v="0"/>
    <n v="14"/>
    <n v="3"/>
    <n v="4"/>
    <n v="80"/>
    <n v="0"/>
    <n v="4"/>
    <n v="3"/>
    <n v="3"/>
    <n v="3"/>
    <n v="2"/>
    <n v="2"/>
    <n v="2"/>
  </r>
  <r>
    <x v="19"/>
    <x v="1"/>
    <x v="0"/>
    <n v="603"/>
    <x v="1"/>
    <n v="7"/>
    <n v="4"/>
    <x v="2"/>
    <x v="0"/>
    <x v="925"/>
    <n v="2"/>
    <x v="0"/>
    <n v="78"/>
    <n v="4"/>
    <n v="2"/>
    <x v="1"/>
    <n v="2"/>
    <x v="1"/>
    <n v="2372"/>
    <n v="5628"/>
    <n v="6"/>
    <s v="Y"/>
    <x v="0"/>
    <n v="16"/>
    <n v="3"/>
    <n v="4"/>
    <n v="80"/>
    <n v="0"/>
    <n v="18"/>
    <n v="2"/>
    <n v="3"/>
    <n v="1"/>
    <n v="0"/>
    <n v="0"/>
    <n v="0"/>
  </r>
  <r>
    <x v="23"/>
    <x v="1"/>
    <x v="0"/>
    <n v="531"/>
    <x v="0"/>
    <n v="4"/>
    <n v="4"/>
    <x v="3"/>
    <x v="0"/>
    <x v="926"/>
    <n v="4"/>
    <x v="0"/>
    <n v="56"/>
    <n v="2"/>
    <n v="3"/>
    <x v="0"/>
    <n v="4"/>
    <x v="0"/>
    <n v="10231"/>
    <n v="20364"/>
    <n v="3"/>
    <s v="Y"/>
    <x v="1"/>
    <n v="14"/>
    <n v="3"/>
    <n v="4"/>
    <n v="80"/>
    <n v="0"/>
    <n v="23"/>
    <n v="3"/>
    <n v="4"/>
    <n v="21"/>
    <n v="7"/>
    <n v="15"/>
    <n v="17"/>
  </r>
  <r>
    <x v="9"/>
    <x v="1"/>
    <x v="0"/>
    <n v="429"/>
    <x v="1"/>
    <n v="2"/>
    <n v="4"/>
    <x v="0"/>
    <x v="0"/>
    <x v="927"/>
    <n v="3"/>
    <x v="0"/>
    <n v="53"/>
    <n v="3"/>
    <n v="2"/>
    <x v="3"/>
    <n v="2"/>
    <x v="0"/>
    <n v="5410"/>
    <n v="2323"/>
    <n v="9"/>
    <s v="Y"/>
    <x v="0"/>
    <n v="11"/>
    <n v="3"/>
    <n v="4"/>
    <n v="80"/>
    <n v="0"/>
    <n v="18"/>
    <n v="2"/>
    <n v="3"/>
    <n v="16"/>
    <n v="14"/>
    <n v="5"/>
    <n v="12"/>
  </r>
  <r>
    <x v="20"/>
    <x v="0"/>
    <x v="0"/>
    <n v="621"/>
    <x v="1"/>
    <n v="15"/>
    <n v="3"/>
    <x v="2"/>
    <x v="0"/>
    <x v="928"/>
    <n v="1"/>
    <x v="0"/>
    <n v="73"/>
    <n v="3"/>
    <n v="3"/>
    <x v="4"/>
    <n v="4"/>
    <x v="1"/>
    <n v="7978"/>
    <n v="14075"/>
    <n v="1"/>
    <s v="Y"/>
    <x v="1"/>
    <n v="11"/>
    <n v="3"/>
    <n v="4"/>
    <n v="80"/>
    <n v="1"/>
    <n v="10"/>
    <n v="2"/>
    <n v="3"/>
    <n v="10"/>
    <n v="7"/>
    <n v="0"/>
    <n v="5"/>
  </r>
  <r>
    <x v="14"/>
    <x v="1"/>
    <x v="1"/>
    <n v="193"/>
    <x v="1"/>
    <n v="2"/>
    <n v="3"/>
    <x v="0"/>
    <x v="0"/>
    <x v="929"/>
    <n v="4"/>
    <x v="1"/>
    <n v="52"/>
    <n v="2"/>
    <n v="1"/>
    <x v="2"/>
    <n v="4"/>
    <x v="1"/>
    <n v="3867"/>
    <n v="14222"/>
    <n v="1"/>
    <s v="Y"/>
    <x v="0"/>
    <n v="12"/>
    <n v="3"/>
    <n v="2"/>
    <n v="80"/>
    <n v="1"/>
    <n v="2"/>
    <n v="2"/>
    <n v="3"/>
    <n v="2"/>
    <n v="2"/>
    <n v="2"/>
    <n v="2"/>
  </r>
  <r>
    <x v="31"/>
    <x v="1"/>
    <x v="1"/>
    <n v="968"/>
    <x v="1"/>
    <n v="6"/>
    <n v="2"/>
    <x v="2"/>
    <x v="0"/>
    <x v="930"/>
    <n v="2"/>
    <x v="0"/>
    <n v="40"/>
    <n v="2"/>
    <n v="1"/>
    <x v="2"/>
    <n v="3"/>
    <x v="0"/>
    <n v="2838"/>
    <n v="4257"/>
    <n v="0"/>
    <s v="Y"/>
    <x v="1"/>
    <n v="14"/>
    <n v="3"/>
    <n v="2"/>
    <n v="80"/>
    <n v="0"/>
    <n v="8"/>
    <n v="6"/>
    <n v="2"/>
    <n v="7"/>
    <n v="0"/>
    <n v="7"/>
    <n v="7"/>
  </r>
  <r>
    <x v="7"/>
    <x v="1"/>
    <x v="2"/>
    <n v="879"/>
    <x v="1"/>
    <n v="9"/>
    <n v="2"/>
    <x v="2"/>
    <x v="0"/>
    <x v="931"/>
    <n v="3"/>
    <x v="0"/>
    <n v="72"/>
    <n v="3"/>
    <n v="2"/>
    <x v="3"/>
    <n v="3"/>
    <x v="0"/>
    <n v="4695"/>
    <n v="12858"/>
    <n v="7"/>
    <s v="Y"/>
    <x v="0"/>
    <n v="18"/>
    <n v="3"/>
    <n v="3"/>
    <n v="80"/>
    <n v="0"/>
    <n v="10"/>
    <n v="3"/>
    <n v="3"/>
    <n v="8"/>
    <n v="4"/>
    <n v="1"/>
    <n v="7"/>
  </r>
  <r>
    <x v="11"/>
    <x v="0"/>
    <x v="0"/>
    <n v="806"/>
    <x v="1"/>
    <n v="7"/>
    <n v="3"/>
    <x v="4"/>
    <x v="0"/>
    <x v="932"/>
    <n v="2"/>
    <x v="0"/>
    <n v="39"/>
    <n v="3"/>
    <n v="1"/>
    <x v="2"/>
    <n v="3"/>
    <x v="2"/>
    <n v="3339"/>
    <n v="17285"/>
    <n v="3"/>
    <s v="Y"/>
    <x v="0"/>
    <n v="13"/>
    <n v="3"/>
    <n v="1"/>
    <n v="80"/>
    <n v="2"/>
    <n v="10"/>
    <n v="2"/>
    <n v="3"/>
    <n v="7"/>
    <n v="7"/>
    <n v="7"/>
    <n v="7"/>
  </r>
  <r>
    <x v="14"/>
    <x v="1"/>
    <x v="0"/>
    <n v="640"/>
    <x v="1"/>
    <n v="1"/>
    <n v="3"/>
    <x v="4"/>
    <x v="0"/>
    <x v="933"/>
    <n v="4"/>
    <x v="1"/>
    <n v="84"/>
    <n v="3"/>
    <n v="1"/>
    <x v="1"/>
    <n v="1"/>
    <x v="0"/>
    <n v="2080"/>
    <n v="4732"/>
    <n v="2"/>
    <s v="Y"/>
    <x v="1"/>
    <n v="11"/>
    <n v="3"/>
    <n v="2"/>
    <n v="80"/>
    <n v="0"/>
    <n v="5"/>
    <n v="2"/>
    <n v="2"/>
    <n v="3"/>
    <n v="2"/>
    <n v="1"/>
    <n v="2"/>
  </r>
  <r>
    <x v="36"/>
    <x v="1"/>
    <x v="0"/>
    <n v="266"/>
    <x v="1"/>
    <n v="1"/>
    <n v="3"/>
    <x v="2"/>
    <x v="0"/>
    <x v="934"/>
    <n v="4"/>
    <x v="0"/>
    <n v="40"/>
    <n v="3"/>
    <n v="1"/>
    <x v="1"/>
    <n v="2"/>
    <x v="0"/>
    <n v="2096"/>
    <n v="18830"/>
    <n v="1"/>
    <s v="Y"/>
    <x v="1"/>
    <n v="18"/>
    <n v="3"/>
    <n v="4"/>
    <n v="80"/>
    <n v="0"/>
    <n v="2"/>
    <n v="3"/>
    <n v="2"/>
    <n v="2"/>
    <n v="2"/>
    <n v="2"/>
    <n v="1"/>
  </r>
  <r>
    <x v="5"/>
    <x v="1"/>
    <x v="0"/>
    <n v="604"/>
    <x v="0"/>
    <n v="8"/>
    <n v="3"/>
    <x v="2"/>
    <x v="0"/>
    <x v="935"/>
    <n v="3"/>
    <x v="1"/>
    <n v="56"/>
    <n v="4"/>
    <n v="2"/>
    <x v="0"/>
    <n v="4"/>
    <x v="1"/>
    <n v="6209"/>
    <n v="11693"/>
    <n v="1"/>
    <s v="Y"/>
    <x v="1"/>
    <n v="15"/>
    <n v="3"/>
    <n v="3"/>
    <n v="80"/>
    <n v="2"/>
    <n v="10"/>
    <n v="4"/>
    <n v="4"/>
    <n v="10"/>
    <n v="7"/>
    <n v="0"/>
    <n v="8"/>
  </r>
  <r>
    <x v="28"/>
    <x v="1"/>
    <x v="1"/>
    <n v="364"/>
    <x v="1"/>
    <n v="25"/>
    <n v="3"/>
    <x v="2"/>
    <x v="0"/>
    <x v="936"/>
    <n v="2"/>
    <x v="0"/>
    <n v="83"/>
    <n v="3"/>
    <n v="5"/>
    <x v="5"/>
    <n v="2"/>
    <x v="0"/>
    <n v="18061"/>
    <n v="13035"/>
    <n v="3"/>
    <s v="Y"/>
    <x v="1"/>
    <n v="22"/>
    <n v="4"/>
    <n v="3"/>
    <n v="80"/>
    <n v="0"/>
    <n v="22"/>
    <n v="4"/>
    <n v="3"/>
    <n v="0"/>
    <n v="0"/>
    <n v="0"/>
    <n v="0"/>
  </r>
  <r>
    <x v="22"/>
    <x v="1"/>
    <x v="0"/>
    <n v="412"/>
    <x v="1"/>
    <n v="13"/>
    <n v="4"/>
    <x v="2"/>
    <x v="0"/>
    <x v="937"/>
    <n v="3"/>
    <x v="0"/>
    <n v="94"/>
    <n v="2"/>
    <n v="4"/>
    <x v="5"/>
    <n v="2"/>
    <x v="2"/>
    <n v="17123"/>
    <n v="17334"/>
    <n v="6"/>
    <s v="Y"/>
    <x v="0"/>
    <n v="13"/>
    <n v="3"/>
    <n v="4"/>
    <n v="80"/>
    <n v="2"/>
    <n v="21"/>
    <n v="4"/>
    <n v="3"/>
    <n v="19"/>
    <n v="9"/>
    <n v="15"/>
    <n v="2"/>
  </r>
  <r>
    <x v="34"/>
    <x v="1"/>
    <x v="0"/>
    <n v="848"/>
    <x v="1"/>
    <n v="23"/>
    <n v="4"/>
    <x v="0"/>
    <x v="0"/>
    <x v="938"/>
    <n v="1"/>
    <x v="1"/>
    <n v="88"/>
    <n v="3"/>
    <n v="1"/>
    <x v="1"/>
    <n v="3"/>
    <x v="2"/>
    <n v="2372"/>
    <n v="26076"/>
    <n v="1"/>
    <s v="Y"/>
    <x v="1"/>
    <n v="12"/>
    <n v="3"/>
    <n v="4"/>
    <n v="80"/>
    <n v="2"/>
    <n v="2"/>
    <n v="3"/>
    <n v="3"/>
    <n v="2"/>
    <n v="2"/>
    <n v="2"/>
    <n v="2"/>
  </r>
  <r>
    <x v="5"/>
    <x v="0"/>
    <x v="0"/>
    <n v="1089"/>
    <x v="1"/>
    <n v="7"/>
    <n v="2"/>
    <x v="0"/>
    <x v="0"/>
    <x v="939"/>
    <n v="4"/>
    <x v="1"/>
    <n v="79"/>
    <n v="3"/>
    <n v="2"/>
    <x v="2"/>
    <n v="3"/>
    <x v="1"/>
    <n v="4883"/>
    <n v="22845"/>
    <n v="1"/>
    <s v="Y"/>
    <x v="1"/>
    <n v="18"/>
    <n v="3"/>
    <n v="1"/>
    <n v="80"/>
    <n v="1"/>
    <n v="10"/>
    <n v="3"/>
    <n v="3"/>
    <n v="10"/>
    <n v="4"/>
    <n v="1"/>
    <n v="1"/>
  </r>
  <r>
    <x v="22"/>
    <x v="0"/>
    <x v="0"/>
    <n v="360"/>
    <x v="1"/>
    <n v="23"/>
    <n v="3"/>
    <x v="2"/>
    <x v="0"/>
    <x v="940"/>
    <n v="3"/>
    <x v="1"/>
    <n v="93"/>
    <n v="3"/>
    <n v="1"/>
    <x v="1"/>
    <n v="1"/>
    <x v="0"/>
    <n v="3904"/>
    <n v="22154"/>
    <n v="0"/>
    <s v="Y"/>
    <x v="1"/>
    <n v="13"/>
    <n v="3"/>
    <n v="1"/>
    <n v="80"/>
    <n v="0"/>
    <n v="6"/>
    <n v="2"/>
    <n v="3"/>
    <n v="5"/>
    <n v="2"/>
    <n v="0"/>
    <n v="3"/>
  </r>
  <r>
    <x v="7"/>
    <x v="1"/>
    <x v="0"/>
    <n v="1138"/>
    <x v="1"/>
    <n v="6"/>
    <n v="3"/>
    <x v="4"/>
    <x v="0"/>
    <x v="941"/>
    <n v="1"/>
    <x v="0"/>
    <n v="48"/>
    <n v="2"/>
    <n v="2"/>
    <x v="2"/>
    <n v="4"/>
    <x v="1"/>
    <n v="4627"/>
    <n v="23631"/>
    <n v="0"/>
    <s v="Y"/>
    <x v="1"/>
    <n v="12"/>
    <n v="3"/>
    <n v="1"/>
    <n v="80"/>
    <n v="1"/>
    <n v="10"/>
    <n v="6"/>
    <n v="3"/>
    <n v="9"/>
    <n v="2"/>
    <n v="6"/>
    <n v="7"/>
  </r>
  <r>
    <x v="9"/>
    <x v="1"/>
    <x v="0"/>
    <n v="325"/>
    <x v="1"/>
    <n v="10"/>
    <n v="4"/>
    <x v="4"/>
    <x v="0"/>
    <x v="942"/>
    <n v="4"/>
    <x v="0"/>
    <n v="63"/>
    <n v="3"/>
    <n v="3"/>
    <x v="4"/>
    <n v="3"/>
    <x v="1"/>
    <n v="7094"/>
    <n v="5747"/>
    <n v="3"/>
    <s v="Y"/>
    <x v="1"/>
    <n v="12"/>
    <n v="3"/>
    <n v="1"/>
    <n v="80"/>
    <n v="0"/>
    <n v="10"/>
    <n v="0"/>
    <n v="3"/>
    <n v="7"/>
    <n v="7"/>
    <n v="1"/>
    <n v="7"/>
  </r>
  <r>
    <x v="21"/>
    <x v="1"/>
    <x v="0"/>
    <n v="991"/>
    <x v="2"/>
    <n v="1"/>
    <n v="2"/>
    <x v="0"/>
    <x v="0"/>
    <x v="943"/>
    <n v="4"/>
    <x v="0"/>
    <n v="44"/>
    <n v="3"/>
    <n v="1"/>
    <x v="8"/>
    <n v="1"/>
    <x v="0"/>
    <n v="3423"/>
    <n v="22957"/>
    <n v="6"/>
    <s v="Y"/>
    <x v="1"/>
    <n v="12"/>
    <n v="3"/>
    <n v="3"/>
    <n v="80"/>
    <n v="0"/>
    <n v="10"/>
    <n v="3"/>
    <n v="4"/>
    <n v="7"/>
    <n v="6"/>
    <n v="5"/>
    <n v="7"/>
  </r>
  <r>
    <x v="14"/>
    <x v="1"/>
    <x v="2"/>
    <n v="1476"/>
    <x v="1"/>
    <n v="1"/>
    <n v="3"/>
    <x v="0"/>
    <x v="0"/>
    <x v="944"/>
    <n v="3"/>
    <x v="0"/>
    <n v="55"/>
    <n v="1"/>
    <n v="2"/>
    <x v="2"/>
    <n v="4"/>
    <x v="1"/>
    <n v="6674"/>
    <n v="16392"/>
    <n v="0"/>
    <s v="Y"/>
    <x v="1"/>
    <n v="11"/>
    <n v="3"/>
    <n v="1"/>
    <n v="80"/>
    <n v="3"/>
    <n v="10"/>
    <n v="6"/>
    <n v="3"/>
    <n v="9"/>
    <n v="8"/>
    <n v="7"/>
    <n v="5"/>
  </r>
  <r>
    <x v="24"/>
    <x v="1"/>
    <x v="0"/>
    <n v="1322"/>
    <x v="1"/>
    <n v="28"/>
    <n v="3"/>
    <x v="0"/>
    <x v="0"/>
    <x v="945"/>
    <n v="4"/>
    <x v="0"/>
    <n v="43"/>
    <n v="3"/>
    <n v="4"/>
    <x v="7"/>
    <n v="1"/>
    <x v="1"/>
    <n v="16880"/>
    <n v="22422"/>
    <n v="4"/>
    <s v="Y"/>
    <x v="0"/>
    <n v="11"/>
    <n v="3"/>
    <n v="2"/>
    <n v="80"/>
    <n v="0"/>
    <n v="25"/>
    <n v="2"/>
    <n v="3"/>
    <n v="3"/>
    <n v="2"/>
    <n v="1"/>
    <n v="2"/>
  </r>
  <r>
    <x v="32"/>
    <x v="0"/>
    <x v="0"/>
    <n v="299"/>
    <x v="0"/>
    <n v="25"/>
    <n v="4"/>
    <x v="3"/>
    <x v="0"/>
    <x v="946"/>
    <n v="4"/>
    <x v="1"/>
    <n v="57"/>
    <n v="2"/>
    <n v="3"/>
    <x v="0"/>
    <n v="2"/>
    <x v="0"/>
    <n v="9094"/>
    <n v="17235"/>
    <n v="2"/>
    <s v="Y"/>
    <x v="0"/>
    <n v="12"/>
    <n v="3"/>
    <n v="3"/>
    <n v="80"/>
    <n v="0"/>
    <n v="9"/>
    <n v="2"/>
    <n v="3"/>
    <n v="5"/>
    <n v="4"/>
    <n v="1"/>
    <n v="0"/>
  </r>
  <r>
    <x v="39"/>
    <x v="0"/>
    <x v="0"/>
    <n v="1030"/>
    <x v="0"/>
    <n v="5"/>
    <n v="3"/>
    <x v="0"/>
    <x v="0"/>
    <x v="947"/>
    <n v="2"/>
    <x v="1"/>
    <n v="64"/>
    <n v="3"/>
    <n v="3"/>
    <x v="0"/>
    <n v="2"/>
    <x v="0"/>
    <n v="8446"/>
    <n v="21534"/>
    <n v="9"/>
    <s v="Y"/>
    <x v="0"/>
    <n v="19"/>
    <n v="3"/>
    <n v="3"/>
    <n v="80"/>
    <n v="0"/>
    <n v="10"/>
    <n v="2"/>
    <n v="2"/>
    <n v="8"/>
    <n v="7"/>
    <n v="7"/>
    <n v="7"/>
  </r>
  <r>
    <x v="7"/>
    <x v="1"/>
    <x v="0"/>
    <n v="634"/>
    <x v="1"/>
    <n v="17"/>
    <n v="4"/>
    <x v="2"/>
    <x v="0"/>
    <x v="948"/>
    <n v="2"/>
    <x v="0"/>
    <n v="95"/>
    <n v="3"/>
    <n v="3"/>
    <x v="5"/>
    <n v="1"/>
    <x v="1"/>
    <n v="11916"/>
    <n v="25927"/>
    <n v="1"/>
    <s v="Y"/>
    <x v="0"/>
    <n v="23"/>
    <n v="4"/>
    <n v="4"/>
    <n v="80"/>
    <n v="2"/>
    <n v="9"/>
    <n v="2"/>
    <n v="3"/>
    <n v="9"/>
    <n v="1"/>
    <n v="0"/>
    <n v="8"/>
  </r>
  <r>
    <x v="22"/>
    <x v="1"/>
    <x v="0"/>
    <n v="524"/>
    <x v="1"/>
    <n v="18"/>
    <n v="2"/>
    <x v="0"/>
    <x v="0"/>
    <x v="949"/>
    <n v="1"/>
    <x v="1"/>
    <n v="32"/>
    <n v="3"/>
    <n v="2"/>
    <x v="3"/>
    <n v="3"/>
    <x v="0"/>
    <n v="4534"/>
    <n v="13352"/>
    <n v="0"/>
    <s v="Y"/>
    <x v="1"/>
    <n v="11"/>
    <n v="3"/>
    <n v="1"/>
    <n v="80"/>
    <n v="0"/>
    <n v="9"/>
    <n v="6"/>
    <n v="3"/>
    <n v="8"/>
    <n v="7"/>
    <n v="1"/>
    <n v="7"/>
  </r>
  <r>
    <x v="12"/>
    <x v="1"/>
    <x v="2"/>
    <n v="587"/>
    <x v="0"/>
    <n v="2"/>
    <n v="4"/>
    <x v="0"/>
    <x v="0"/>
    <x v="950"/>
    <n v="4"/>
    <x v="0"/>
    <n v="57"/>
    <n v="3"/>
    <n v="3"/>
    <x v="0"/>
    <n v="3"/>
    <x v="2"/>
    <n v="9852"/>
    <n v="8935"/>
    <n v="1"/>
    <s v="Y"/>
    <x v="0"/>
    <n v="19"/>
    <n v="3"/>
    <n v="1"/>
    <n v="80"/>
    <n v="1"/>
    <n v="10"/>
    <n v="5"/>
    <n v="2"/>
    <n v="10"/>
    <n v="8"/>
    <n v="9"/>
    <n v="6"/>
  </r>
  <r>
    <x v="0"/>
    <x v="1"/>
    <x v="2"/>
    <n v="256"/>
    <x v="0"/>
    <n v="10"/>
    <n v="2"/>
    <x v="2"/>
    <x v="0"/>
    <x v="951"/>
    <n v="3"/>
    <x v="1"/>
    <n v="40"/>
    <n v="1"/>
    <n v="2"/>
    <x v="0"/>
    <n v="2"/>
    <x v="0"/>
    <n v="6151"/>
    <n v="22074"/>
    <n v="1"/>
    <s v="Y"/>
    <x v="1"/>
    <n v="13"/>
    <n v="3"/>
    <n v="1"/>
    <n v="80"/>
    <n v="0"/>
    <n v="19"/>
    <n v="4"/>
    <n v="3"/>
    <n v="19"/>
    <n v="2"/>
    <n v="11"/>
    <n v="9"/>
  </r>
  <r>
    <x v="12"/>
    <x v="0"/>
    <x v="1"/>
    <n v="1060"/>
    <x v="0"/>
    <n v="1"/>
    <n v="3"/>
    <x v="0"/>
    <x v="0"/>
    <x v="952"/>
    <n v="4"/>
    <x v="0"/>
    <n v="54"/>
    <n v="3"/>
    <n v="1"/>
    <x v="6"/>
    <n v="2"/>
    <x v="0"/>
    <n v="2302"/>
    <n v="8319"/>
    <n v="1"/>
    <s v="Y"/>
    <x v="0"/>
    <n v="11"/>
    <n v="3"/>
    <n v="1"/>
    <n v="80"/>
    <n v="0"/>
    <n v="3"/>
    <n v="2"/>
    <n v="4"/>
    <n v="3"/>
    <n v="2"/>
    <n v="2"/>
    <n v="2"/>
  </r>
  <r>
    <x v="20"/>
    <x v="0"/>
    <x v="0"/>
    <n v="935"/>
    <x v="1"/>
    <n v="3"/>
    <n v="3"/>
    <x v="0"/>
    <x v="0"/>
    <x v="953"/>
    <n v="1"/>
    <x v="1"/>
    <n v="89"/>
    <n v="3"/>
    <n v="1"/>
    <x v="2"/>
    <n v="1"/>
    <x v="1"/>
    <n v="2362"/>
    <n v="14669"/>
    <n v="4"/>
    <s v="Y"/>
    <x v="1"/>
    <n v="12"/>
    <n v="3"/>
    <n v="3"/>
    <n v="80"/>
    <n v="0"/>
    <n v="10"/>
    <n v="4"/>
    <n v="4"/>
    <n v="3"/>
    <n v="2"/>
    <n v="1"/>
    <n v="2"/>
  </r>
  <r>
    <x v="19"/>
    <x v="1"/>
    <x v="2"/>
    <n v="495"/>
    <x v="1"/>
    <n v="2"/>
    <n v="1"/>
    <x v="0"/>
    <x v="0"/>
    <x v="954"/>
    <n v="3"/>
    <x v="1"/>
    <n v="37"/>
    <n v="3"/>
    <n v="4"/>
    <x v="5"/>
    <n v="3"/>
    <x v="1"/>
    <n v="17861"/>
    <n v="26582"/>
    <n v="0"/>
    <s v="Y"/>
    <x v="0"/>
    <n v="13"/>
    <n v="3"/>
    <n v="4"/>
    <n v="80"/>
    <n v="0"/>
    <n v="21"/>
    <n v="3"/>
    <n v="2"/>
    <n v="20"/>
    <n v="8"/>
    <n v="2"/>
    <n v="10"/>
  </r>
  <r>
    <x v="27"/>
    <x v="1"/>
    <x v="0"/>
    <n v="282"/>
    <x v="1"/>
    <n v="2"/>
    <n v="2"/>
    <x v="2"/>
    <x v="0"/>
    <x v="955"/>
    <n v="4"/>
    <x v="0"/>
    <n v="58"/>
    <n v="1"/>
    <n v="5"/>
    <x v="5"/>
    <n v="3"/>
    <x v="1"/>
    <n v="19187"/>
    <n v="6992"/>
    <n v="4"/>
    <s v="Y"/>
    <x v="1"/>
    <n v="14"/>
    <n v="3"/>
    <n v="4"/>
    <n v="80"/>
    <n v="1"/>
    <n v="23"/>
    <n v="5"/>
    <n v="3"/>
    <n v="19"/>
    <n v="9"/>
    <n v="9"/>
    <n v="11"/>
  </r>
  <r>
    <x v="29"/>
    <x v="1"/>
    <x v="0"/>
    <n v="206"/>
    <x v="2"/>
    <n v="8"/>
    <n v="4"/>
    <x v="0"/>
    <x v="0"/>
    <x v="956"/>
    <n v="4"/>
    <x v="1"/>
    <n v="99"/>
    <n v="3"/>
    <n v="5"/>
    <x v="5"/>
    <n v="2"/>
    <x v="0"/>
    <n v="19717"/>
    <n v="4022"/>
    <n v="6"/>
    <s v="Y"/>
    <x v="1"/>
    <n v="14"/>
    <n v="3"/>
    <n v="1"/>
    <n v="80"/>
    <n v="0"/>
    <n v="36"/>
    <n v="4"/>
    <n v="3"/>
    <n v="7"/>
    <n v="3"/>
    <n v="7"/>
    <n v="7"/>
  </r>
  <r>
    <x v="32"/>
    <x v="1"/>
    <x v="2"/>
    <n v="458"/>
    <x v="1"/>
    <n v="16"/>
    <n v="2"/>
    <x v="0"/>
    <x v="0"/>
    <x v="957"/>
    <n v="3"/>
    <x v="1"/>
    <n v="74"/>
    <n v="3"/>
    <n v="1"/>
    <x v="1"/>
    <n v="3"/>
    <x v="2"/>
    <n v="3544"/>
    <n v="8532"/>
    <n v="9"/>
    <s v="Y"/>
    <x v="1"/>
    <n v="16"/>
    <n v="3"/>
    <n v="2"/>
    <n v="80"/>
    <n v="1"/>
    <n v="6"/>
    <n v="0"/>
    <n v="3"/>
    <n v="4"/>
    <n v="2"/>
    <n v="0"/>
    <n v="0"/>
  </r>
  <r>
    <x v="13"/>
    <x v="1"/>
    <x v="0"/>
    <n v="943"/>
    <x v="1"/>
    <n v="9"/>
    <n v="3"/>
    <x v="0"/>
    <x v="0"/>
    <x v="958"/>
    <n v="4"/>
    <x v="1"/>
    <n v="86"/>
    <n v="3"/>
    <n v="3"/>
    <x v="4"/>
    <n v="4"/>
    <x v="2"/>
    <n v="8500"/>
    <n v="5494"/>
    <n v="0"/>
    <s v="Y"/>
    <x v="1"/>
    <n v="11"/>
    <n v="3"/>
    <n v="4"/>
    <n v="80"/>
    <n v="1"/>
    <n v="10"/>
    <n v="0"/>
    <n v="2"/>
    <n v="9"/>
    <n v="7"/>
    <n v="1"/>
    <n v="6"/>
  </r>
  <r>
    <x v="32"/>
    <x v="1"/>
    <x v="0"/>
    <n v="523"/>
    <x v="1"/>
    <n v="2"/>
    <n v="3"/>
    <x v="0"/>
    <x v="0"/>
    <x v="959"/>
    <n v="3"/>
    <x v="1"/>
    <n v="98"/>
    <n v="3"/>
    <n v="2"/>
    <x v="1"/>
    <n v="4"/>
    <x v="0"/>
    <n v="4661"/>
    <n v="22455"/>
    <n v="1"/>
    <s v="Y"/>
    <x v="1"/>
    <n v="13"/>
    <n v="3"/>
    <n v="3"/>
    <n v="80"/>
    <n v="0"/>
    <n v="9"/>
    <n v="4"/>
    <n v="3"/>
    <n v="9"/>
    <n v="8"/>
    <n v="8"/>
    <n v="8"/>
  </r>
  <r>
    <x v="0"/>
    <x v="1"/>
    <x v="1"/>
    <n v="1018"/>
    <x v="0"/>
    <n v="1"/>
    <n v="3"/>
    <x v="3"/>
    <x v="0"/>
    <x v="960"/>
    <n v="3"/>
    <x v="0"/>
    <n v="66"/>
    <n v="3"/>
    <n v="2"/>
    <x v="0"/>
    <n v="1"/>
    <x v="2"/>
    <n v="4103"/>
    <n v="4297"/>
    <n v="0"/>
    <s v="Y"/>
    <x v="1"/>
    <n v="17"/>
    <n v="3"/>
    <n v="4"/>
    <n v="80"/>
    <n v="1"/>
    <n v="10"/>
    <n v="2"/>
    <n v="3"/>
    <n v="9"/>
    <n v="3"/>
    <n v="1"/>
    <n v="7"/>
  </r>
  <r>
    <x v="10"/>
    <x v="1"/>
    <x v="1"/>
    <n v="482"/>
    <x v="1"/>
    <n v="4"/>
    <n v="4"/>
    <x v="0"/>
    <x v="0"/>
    <x v="961"/>
    <n v="3"/>
    <x v="1"/>
    <n v="87"/>
    <n v="3"/>
    <n v="2"/>
    <x v="1"/>
    <n v="3"/>
    <x v="0"/>
    <n v="4249"/>
    <n v="2690"/>
    <n v="1"/>
    <s v="Y"/>
    <x v="0"/>
    <n v="11"/>
    <n v="3"/>
    <n v="2"/>
    <n v="80"/>
    <n v="0"/>
    <n v="9"/>
    <n v="3"/>
    <n v="3"/>
    <n v="9"/>
    <n v="6"/>
    <n v="1"/>
    <n v="1"/>
  </r>
  <r>
    <x v="31"/>
    <x v="1"/>
    <x v="0"/>
    <n v="770"/>
    <x v="2"/>
    <n v="5"/>
    <n v="3"/>
    <x v="0"/>
    <x v="0"/>
    <x v="962"/>
    <n v="3"/>
    <x v="1"/>
    <n v="84"/>
    <n v="3"/>
    <n v="4"/>
    <x v="5"/>
    <n v="2"/>
    <x v="2"/>
    <n v="14026"/>
    <n v="17588"/>
    <n v="1"/>
    <s v="Y"/>
    <x v="0"/>
    <n v="11"/>
    <n v="3"/>
    <n v="2"/>
    <n v="80"/>
    <n v="1"/>
    <n v="33"/>
    <n v="2"/>
    <n v="3"/>
    <n v="33"/>
    <n v="9"/>
    <n v="0"/>
    <n v="10"/>
  </r>
  <r>
    <x v="8"/>
    <x v="1"/>
    <x v="0"/>
    <n v="1009"/>
    <x v="0"/>
    <n v="2"/>
    <n v="2"/>
    <x v="0"/>
    <x v="0"/>
    <x v="963"/>
    <n v="2"/>
    <x v="0"/>
    <n v="31"/>
    <n v="3"/>
    <n v="2"/>
    <x v="0"/>
    <n v="1"/>
    <x v="2"/>
    <n v="6893"/>
    <n v="19461"/>
    <n v="3"/>
    <s v="Y"/>
    <x v="1"/>
    <n v="15"/>
    <n v="3"/>
    <n v="4"/>
    <n v="80"/>
    <n v="1"/>
    <n v="11"/>
    <n v="3"/>
    <n v="3"/>
    <n v="7"/>
    <n v="7"/>
    <n v="1"/>
    <n v="7"/>
  </r>
  <r>
    <x v="13"/>
    <x v="1"/>
    <x v="0"/>
    <n v="507"/>
    <x v="0"/>
    <n v="15"/>
    <n v="2"/>
    <x v="2"/>
    <x v="0"/>
    <x v="964"/>
    <n v="3"/>
    <x v="0"/>
    <n v="66"/>
    <n v="3"/>
    <n v="2"/>
    <x v="0"/>
    <n v="1"/>
    <x v="0"/>
    <n v="6125"/>
    <n v="23553"/>
    <n v="1"/>
    <s v="Y"/>
    <x v="1"/>
    <n v="12"/>
    <n v="3"/>
    <n v="4"/>
    <n v="80"/>
    <n v="0"/>
    <n v="10"/>
    <n v="6"/>
    <n v="4"/>
    <n v="10"/>
    <n v="8"/>
    <n v="9"/>
    <n v="6"/>
  </r>
  <r>
    <x v="36"/>
    <x v="1"/>
    <x v="0"/>
    <n v="882"/>
    <x v="1"/>
    <n v="19"/>
    <n v="1"/>
    <x v="2"/>
    <x v="0"/>
    <x v="965"/>
    <n v="4"/>
    <x v="1"/>
    <n v="67"/>
    <n v="3"/>
    <n v="1"/>
    <x v="2"/>
    <n v="4"/>
    <x v="1"/>
    <n v="3669"/>
    <n v="9075"/>
    <n v="3"/>
    <s v="Y"/>
    <x v="1"/>
    <n v="11"/>
    <n v="3"/>
    <n v="3"/>
    <n v="80"/>
    <n v="3"/>
    <n v="7"/>
    <n v="6"/>
    <n v="2"/>
    <n v="3"/>
    <n v="2"/>
    <n v="1"/>
    <n v="2"/>
  </r>
  <r>
    <x v="34"/>
    <x v="0"/>
    <x v="0"/>
    <n v="601"/>
    <x v="1"/>
    <n v="7"/>
    <n v="4"/>
    <x v="2"/>
    <x v="0"/>
    <x v="966"/>
    <n v="3"/>
    <x v="0"/>
    <n v="53"/>
    <n v="2"/>
    <n v="3"/>
    <x v="3"/>
    <n v="1"/>
    <x v="1"/>
    <n v="10008"/>
    <n v="12023"/>
    <n v="7"/>
    <s v="Y"/>
    <x v="0"/>
    <n v="14"/>
    <n v="3"/>
    <n v="4"/>
    <n v="80"/>
    <n v="0"/>
    <n v="31"/>
    <n v="0"/>
    <n v="2"/>
    <n v="10"/>
    <n v="9"/>
    <n v="5"/>
    <n v="9"/>
  </r>
  <r>
    <x v="32"/>
    <x v="1"/>
    <x v="0"/>
    <n v="329"/>
    <x v="1"/>
    <n v="1"/>
    <n v="4"/>
    <x v="0"/>
    <x v="0"/>
    <x v="967"/>
    <n v="2"/>
    <x v="1"/>
    <n v="88"/>
    <n v="3"/>
    <n v="1"/>
    <x v="2"/>
    <n v="2"/>
    <x v="1"/>
    <n v="2387"/>
    <n v="6762"/>
    <n v="3"/>
    <s v="Y"/>
    <x v="1"/>
    <n v="22"/>
    <n v="4"/>
    <n v="3"/>
    <n v="80"/>
    <n v="1"/>
    <n v="7"/>
    <n v="3"/>
    <n v="3"/>
    <n v="4"/>
    <n v="2"/>
    <n v="0"/>
    <n v="3"/>
  </r>
  <r>
    <x v="9"/>
    <x v="1"/>
    <x v="1"/>
    <n v="607"/>
    <x v="0"/>
    <n v="7"/>
    <n v="3"/>
    <x v="3"/>
    <x v="0"/>
    <x v="968"/>
    <n v="1"/>
    <x v="0"/>
    <n v="83"/>
    <n v="4"/>
    <n v="2"/>
    <x v="0"/>
    <n v="1"/>
    <x v="1"/>
    <n v="4639"/>
    <n v="2261"/>
    <n v="2"/>
    <s v="Y"/>
    <x v="1"/>
    <n v="16"/>
    <n v="3"/>
    <n v="4"/>
    <n v="80"/>
    <n v="1"/>
    <n v="17"/>
    <n v="2"/>
    <n v="2"/>
    <n v="15"/>
    <n v="7"/>
    <n v="6"/>
    <n v="13"/>
  </r>
  <r>
    <x v="26"/>
    <x v="1"/>
    <x v="0"/>
    <n v="855"/>
    <x v="1"/>
    <n v="4"/>
    <n v="3"/>
    <x v="0"/>
    <x v="0"/>
    <x v="969"/>
    <n v="4"/>
    <x v="1"/>
    <n v="54"/>
    <n v="3"/>
    <n v="3"/>
    <x v="3"/>
    <n v="4"/>
    <x v="0"/>
    <n v="7898"/>
    <n v="18706"/>
    <n v="1"/>
    <s v="Y"/>
    <x v="1"/>
    <n v="11"/>
    <n v="3"/>
    <n v="3"/>
    <n v="80"/>
    <n v="0"/>
    <n v="11"/>
    <n v="2"/>
    <n v="3"/>
    <n v="10"/>
    <n v="9"/>
    <n v="0"/>
    <n v="8"/>
  </r>
  <r>
    <x v="4"/>
    <x v="1"/>
    <x v="0"/>
    <n v="1291"/>
    <x v="0"/>
    <n v="11"/>
    <n v="3"/>
    <x v="2"/>
    <x v="0"/>
    <x v="970"/>
    <n v="3"/>
    <x v="0"/>
    <n v="98"/>
    <n v="4"/>
    <n v="1"/>
    <x v="6"/>
    <n v="4"/>
    <x v="1"/>
    <n v="2534"/>
    <n v="6527"/>
    <n v="8"/>
    <s v="Y"/>
    <x v="1"/>
    <n v="14"/>
    <n v="3"/>
    <n v="2"/>
    <n v="80"/>
    <n v="1"/>
    <n v="5"/>
    <n v="4"/>
    <n v="3"/>
    <n v="1"/>
    <n v="0"/>
    <n v="0"/>
    <n v="0"/>
  </r>
  <r>
    <x v="31"/>
    <x v="1"/>
    <x v="0"/>
    <n v="1405"/>
    <x v="1"/>
    <n v="11"/>
    <n v="2"/>
    <x v="4"/>
    <x v="0"/>
    <x v="971"/>
    <n v="4"/>
    <x v="0"/>
    <n v="82"/>
    <n v="2"/>
    <n v="4"/>
    <x v="3"/>
    <n v="2"/>
    <x v="0"/>
    <n v="13142"/>
    <n v="24439"/>
    <n v="3"/>
    <s v="Y"/>
    <x v="1"/>
    <n v="16"/>
    <n v="3"/>
    <n v="2"/>
    <n v="80"/>
    <n v="0"/>
    <n v="29"/>
    <n v="1"/>
    <n v="2"/>
    <n v="5"/>
    <n v="2"/>
    <n v="0"/>
    <n v="3"/>
  </r>
  <r>
    <x v="41"/>
    <x v="1"/>
    <x v="2"/>
    <n v="1124"/>
    <x v="1"/>
    <n v="1"/>
    <n v="3"/>
    <x v="0"/>
    <x v="0"/>
    <x v="972"/>
    <n v="4"/>
    <x v="0"/>
    <n v="97"/>
    <n v="3"/>
    <n v="1"/>
    <x v="2"/>
    <n v="4"/>
    <x v="0"/>
    <n v="1611"/>
    <n v="19305"/>
    <n v="1"/>
    <s v="Y"/>
    <x v="1"/>
    <n v="15"/>
    <n v="3"/>
    <n v="3"/>
    <n v="80"/>
    <n v="0"/>
    <n v="0"/>
    <n v="5"/>
    <n v="4"/>
    <n v="0"/>
    <n v="0"/>
    <n v="0"/>
    <n v="0"/>
  </r>
  <r>
    <x v="10"/>
    <x v="1"/>
    <x v="0"/>
    <n v="817"/>
    <x v="1"/>
    <n v="1"/>
    <n v="3"/>
    <x v="2"/>
    <x v="0"/>
    <x v="973"/>
    <n v="4"/>
    <x v="0"/>
    <n v="60"/>
    <n v="2"/>
    <n v="2"/>
    <x v="2"/>
    <n v="4"/>
    <x v="1"/>
    <n v="5363"/>
    <n v="10846"/>
    <n v="0"/>
    <s v="Y"/>
    <x v="1"/>
    <n v="12"/>
    <n v="3"/>
    <n v="2"/>
    <n v="80"/>
    <n v="1"/>
    <n v="10"/>
    <n v="0"/>
    <n v="3"/>
    <n v="9"/>
    <n v="7"/>
    <n v="0"/>
    <n v="0"/>
  </r>
  <r>
    <x v="4"/>
    <x v="1"/>
    <x v="1"/>
    <n v="793"/>
    <x v="0"/>
    <n v="2"/>
    <n v="1"/>
    <x v="0"/>
    <x v="0"/>
    <x v="974"/>
    <n v="4"/>
    <x v="1"/>
    <n v="43"/>
    <n v="1"/>
    <n v="2"/>
    <x v="0"/>
    <n v="4"/>
    <x v="0"/>
    <n v="5071"/>
    <n v="20392"/>
    <n v="3"/>
    <s v="Y"/>
    <x v="1"/>
    <n v="20"/>
    <n v="4"/>
    <n v="2"/>
    <n v="80"/>
    <n v="0"/>
    <n v="8"/>
    <n v="3"/>
    <n v="3"/>
    <n v="6"/>
    <n v="2"/>
    <n v="0"/>
    <n v="0"/>
  </r>
  <r>
    <x v="27"/>
    <x v="0"/>
    <x v="0"/>
    <n v="267"/>
    <x v="0"/>
    <n v="13"/>
    <n v="4"/>
    <x v="3"/>
    <x v="0"/>
    <x v="975"/>
    <n v="1"/>
    <x v="1"/>
    <n v="85"/>
    <n v="4"/>
    <n v="4"/>
    <x v="0"/>
    <n v="3"/>
    <x v="0"/>
    <n v="13695"/>
    <n v="9277"/>
    <n v="6"/>
    <s v="Y"/>
    <x v="0"/>
    <n v="17"/>
    <n v="3"/>
    <n v="3"/>
    <n v="80"/>
    <n v="0"/>
    <n v="24"/>
    <n v="2"/>
    <n v="2"/>
    <n v="19"/>
    <n v="7"/>
    <n v="3"/>
    <n v="8"/>
  </r>
  <r>
    <x v="29"/>
    <x v="1"/>
    <x v="0"/>
    <n v="1369"/>
    <x v="1"/>
    <n v="23"/>
    <n v="3"/>
    <x v="0"/>
    <x v="0"/>
    <x v="976"/>
    <n v="4"/>
    <x v="1"/>
    <n v="68"/>
    <n v="3"/>
    <n v="4"/>
    <x v="3"/>
    <n v="2"/>
    <x v="1"/>
    <n v="13402"/>
    <n v="18235"/>
    <n v="4"/>
    <s v="Y"/>
    <x v="0"/>
    <n v="12"/>
    <n v="3"/>
    <n v="1"/>
    <n v="80"/>
    <n v="1"/>
    <n v="33"/>
    <n v="0"/>
    <n v="3"/>
    <n v="19"/>
    <n v="16"/>
    <n v="15"/>
    <n v="9"/>
  </r>
  <r>
    <x v="13"/>
    <x v="1"/>
    <x v="2"/>
    <n v="999"/>
    <x v="1"/>
    <n v="26"/>
    <n v="1"/>
    <x v="4"/>
    <x v="0"/>
    <x v="977"/>
    <n v="1"/>
    <x v="0"/>
    <n v="92"/>
    <n v="2"/>
    <n v="1"/>
    <x v="1"/>
    <n v="3"/>
    <x v="2"/>
    <n v="2029"/>
    <n v="15891"/>
    <n v="1"/>
    <s v="Y"/>
    <x v="1"/>
    <n v="20"/>
    <n v="4"/>
    <n v="3"/>
    <n v="80"/>
    <n v="3"/>
    <n v="5"/>
    <n v="2"/>
    <n v="3"/>
    <n v="5"/>
    <n v="4"/>
    <n v="0"/>
    <n v="0"/>
  </r>
  <r>
    <x v="32"/>
    <x v="1"/>
    <x v="0"/>
    <n v="1202"/>
    <x v="1"/>
    <n v="2"/>
    <n v="1"/>
    <x v="2"/>
    <x v="0"/>
    <x v="978"/>
    <n v="2"/>
    <x v="0"/>
    <n v="89"/>
    <n v="4"/>
    <n v="2"/>
    <x v="4"/>
    <n v="3"/>
    <x v="2"/>
    <n v="6377"/>
    <n v="13888"/>
    <n v="5"/>
    <s v="Y"/>
    <x v="1"/>
    <n v="20"/>
    <n v="4"/>
    <n v="2"/>
    <n v="80"/>
    <n v="3"/>
    <n v="15"/>
    <n v="0"/>
    <n v="3"/>
    <n v="12"/>
    <n v="11"/>
    <n v="11"/>
    <n v="8"/>
  </r>
  <r>
    <x v="13"/>
    <x v="1"/>
    <x v="0"/>
    <n v="285"/>
    <x v="1"/>
    <n v="29"/>
    <n v="3"/>
    <x v="2"/>
    <x v="0"/>
    <x v="979"/>
    <n v="2"/>
    <x v="1"/>
    <n v="86"/>
    <n v="3"/>
    <n v="2"/>
    <x v="2"/>
    <n v="3"/>
    <x v="1"/>
    <n v="5429"/>
    <n v="17491"/>
    <n v="4"/>
    <s v="Y"/>
    <x v="1"/>
    <n v="13"/>
    <n v="3"/>
    <n v="1"/>
    <n v="80"/>
    <n v="2"/>
    <n v="10"/>
    <n v="1"/>
    <n v="3"/>
    <n v="8"/>
    <n v="7"/>
    <n v="7"/>
    <n v="7"/>
  </r>
  <r>
    <x v="12"/>
    <x v="0"/>
    <x v="1"/>
    <n v="703"/>
    <x v="0"/>
    <n v="2"/>
    <n v="3"/>
    <x v="0"/>
    <x v="0"/>
    <x v="980"/>
    <n v="3"/>
    <x v="0"/>
    <n v="90"/>
    <n v="2"/>
    <n v="1"/>
    <x v="6"/>
    <n v="4"/>
    <x v="0"/>
    <n v="2785"/>
    <n v="11882"/>
    <n v="7"/>
    <s v="Y"/>
    <x v="1"/>
    <n v="14"/>
    <n v="3"/>
    <n v="3"/>
    <n v="80"/>
    <n v="0"/>
    <n v="3"/>
    <n v="3"/>
    <n v="4"/>
    <n v="1"/>
    <n v="0"/>
    <n v="0"/>
    <n v="0"/>
  </r>
  <r>
    <x v="10"/>
    <x v="0"/>
    <x v="1"/>
    <n v="662"/>
    <x v="0"/>
    <n v="18"/>
    <n v="4"/>
    <x v="3"/>
    <x v="0"/>
    <x v="981"/>
    <n v="4"/>
    <x v="0"/>
    <n v="67"/>
    <n v="3"/>
    <n v="2"/>
    <x v="0"/>
    <n v="3"/>
    <x v="1"/>
    <n v="4614"/>
    <n v="23288"/>
    <n v="0"/>
    <s v="Y"/>
    <x v="0"/>
    <n v="18"/>
    <n v="3"/>
    <n v="3"/>
    <n v="80"/>
    <n v="1"/>
    <n v="5"/>
    <n v="0"/>
    <n v="2"/>
    <n v="4"/>
    <n v="2"/>
    <n v="3"/>
    <n v="2"/>
  </r>
  <r>
    <x v="8"/>
    <x v="1"/>
    <x v="1"/>
    <n v="693"/>
    <x v="1"/>
    <n v="7"/>
    <n v="3"/>
    <x v="0"/>
    <x v="0"/>
    <x v="982"/>
    <n v="4"/>
    <x v="1"/>
    <n v="57"/>
    <n v="4"/>
    <n v="1"/>
    <x v="1"/>
    <n v="3"/>
    <x v="2"/>
    <n v="2610"/>
    <n v="15748"/>
    <n v="1"/>
    <s v="Y"/>
    <x v="1"/>
    <n v="11"/>
    <n v="3"/>
    <n v="4"/>
    <n v="80"/>
    <n v="3"/>
    <n v="4"/>
    <n v="2"/>
    <n v="3"/>
    <n v="4"/>
    <n v="2"/>
    <n v="0"/>
    <n v="3"/>
  </r>
  <r>
    <x v="13"/>
    <x v="1"/>
    <x v="0"/>
    <n v="404"/>
    <x v="1"/>
    <n v="2"/>
    <n v="4"/>
    <x v="4"/>
    <x v="0"/>
    <x v="983"/>
    <n v="3"/>
    <x v="0"/>
    <n v="98"/>
    <n v="3"/>
    <n v="2"/>
    <x v="4"/>
    <n v="4"/>
    <x v="0"/>
    <n v="6687"/>
    <n v="6163"/>
    <n v="1"/>
    <s v="Y"/>
    <x v="1"/>
    <n v="11"/>
    <n v="3"/>
    <n v="4"/>
    <n v="80"/>
    <n v="0"/>
    <n v="14"/>
    <n v="2"/>
    <n v="4"/>
    <n v="14"/>
    <n v="11"/>
    <n v="4"/>
    <n v="11"/>
  </r>
  <r>
    <x v="14"/>
    <x v="1"/>
    <x v="0"/>
    <n v="736"/>
    <x v="0"/>
    <n v="26"/>
    <n v="3"/>
    <x v="0"/>
    <x v="0"/>
    <x v="984"/>
    <n v="3"/>
    <x v="1"/>
    <n v="48"/>
    <n v="2"/>
    <n v="2"/>
    <x v="0"/>
    <n v="1"/>
    <x v="1"/>
    <n v="4724"/>
    <n v="24232"/>
    <n v="1"/>
    <s v="Y"/>
    <x v="1"/>
    <n v="11"/>
    <n v="3"/>
    <n v="3"/>
    <n v="80"/>
    <n v="1"/>
    <n v="5"/>
    <n v="0"/>
    <n v="3"/>
    <n v="5"/>
    <n v="3"/>
    <n v="0"/>
    <n v="4"/>
  </r>
  <r>
    <x v="12"/>
    <x v="0"/>
    <x v="0"/>
    <n v="330"/>
    <x v="1"/>
    <n v="22"/>
    <n v="4"/>
    <x v="2"/>
    <x v="0"/>
    <x v="985"/>
    <n v="4"/>
    <x v="1"/>
    <n v="98"/>
    <n v="3"/>
    <n v="2"/>
    <x v="3"/>
    <n v="3"/>
    <x v="1"/>
    <n v="6179"/>
    <n v="21057"/>
    <n v="1"/>
    <s v="Y"/>
    <x v="0"/>
    <n v="15"/>
    <n v="3"/>
    <n v="4"/>
    <n v="80"/>
    <n v="2"/>
    <n v="10"/>
    <n v="3"/>
    <n v="2"/>
    <n v="10"/>
    <n v="2"/>
    <n v="6"/>
    <n v="7"/>
  </r>
  <r>
    <x v="22"/>
    <x v="1"/>
    <x v="0"/>
    <n v="1498"/>
    <x v="0"/>
    <n v="21"/>
    <n v="4"/>
    <x v="0"/>
    <x v="0"/>
    <x v="986"/>
    <n v="1"/>
    <x v="1"/>
    <n v="44"/>
    <n v="2"/>
    <n v="2"/>
    <x v="0"/>
    <n v="4"/>
    <x v="1"/>
    <n v="6120"/>
    <n v="3567"/>
    <n v="3"/>
    <s v="Y"/>
    <x v="0"/>
    <n v="12"/>
    <n v="3"/>
    <n v="4"/>
    <n v="80"/>
    <n v="2"/>
    <n v="8"/>
    <n v="2"/>
    <n v="4"/>
    <n v="5"/>
    <n v="4"/>
    <n v="1"/>
    <n v="4"/>
  </r>
  <r>
    <x v="31"/>
    <x v="1"/>
    <x v="1"/>
    <n v="541"/>
    <x v="0"/>
    <n v="2"/>
    <n v="3"/>
    <x v="3"/>
    <x v="0"/>
    <x v="987"/>
    <n v="2"/>
    <x v="1"/>
    <n v="52"/>
    <n v="3"/>
    <n v="3"/>
    <x v="0"/>
    <n v="2"/>
    <x v="1"/>
    <n v="10596"/>
    <n v="15395"/>
    <n v="2"/>
    <s v="Y"/>
    <x v="1"/>
    <n v="11"/>
    <n v="3"/>
    <n v="2"/>
    <n v="80"/>
    <n v="0"/>
    <n v="14"/>
    <n v="5"/>
    <n v="3"/>
    <n v="4"/>
    <n v="2"/>
    <n v="3"/>
    <n v="2"/>
  </r>
  <r>
    <x v="0"/>
    <x v="1"/>
    <x v="1"/>
    <n v="1200"/>
    <x v="1"/>
    <n v="22"/>
    <n v="3"/>
    <x v="0"/>
    <x v="0"/>
    <x v="988"/>
    <n v="4"/>
    <x v="0"/>
    <n v="75"/>
    <n v="3"/>
    <n v="2"/>
    <x v="1"/>
    <n v="4"/>
    <x v="2"/>
    <n v="5467"/>
    <n v="13953"/>
    <n v="3"/>
    <s v="Y"/>
    <x v="0"/>
    <n v="14"/>
    <n v="3"/>
    <n v="1"/>
    <n v="80"/>
    <n v="2"/>
    <n v="12"/>
    <n v="4"/>
    <n v="2"/>
    <n v="6"/>
    <n v="2"/>
    <n v="3"/>
    <n v="3"/>
  </r>
  <r>
    <x v="2"/>
    <x v="1"/>
    <x v="0"/>
    <n v="1439"/>
    <x v="1"/>
    <n v="4"/>
    <n v="1"/>
    <x v="0"/>
    <x v="0"/>
    <x v="989"/>
    <n v="3"/>
    <x v="1"/>
    <n v="54"/>
    <n v="3"/>
    <n v="1"/>
    <x v="1"/>
    <n v="3"/>
    <x v="1"/>
    <n v="2996"/>
    <n v="5182"/>
    <n v="7"/>
    <s v="Y"/>
    <x v="0"/>
    <n v="15"/>
    <n v="3"/>
    <n v="4"/>
    <n v="80"/>
    <n v="0"/>
    <n v="8"/>
    <n v="2"/>
    <n v="3"/>
    <n v="6"/>
    <n v="4"/>
    <n v="1"/>
    <n v="3"/>
  </r>
  <r>
    <x v="3"/>
    <x v="1"/>
    <x v="1"/>
    <n v="1111"/>
    <x v="0"/>
    <n v="5"/>
    <n v="1"/>
    <x v="0"/>
    <x v="0"/>
    <x v="990"/>
    <n v="2"/>
    <x v="1"/>
    <n v="61"/>
    <n v="3"/>
    <n v="2"/>
    <x v="0"/>
    <n v="4"/>
    <x v="1"/>
    <n v="9998"/>
    <n v="19293"/>
    <n v="6"/>
    <s v="Y"/>
    <x v="1"/>
    <n v="13"/>
    <n v="3"/>
    <n v="1"/>
    <n v="80"/>
    <n v="0"/>
    <n v="8"/>
    <n v="2"/>
    <n v="4"/>
    <n v="5"/>
    <n v="4"/>
    <n v="1"/>
    <n v="2"/>
  </r>
  <r>
    <x v="5"/>
    <x v="1"/>
    <x v="0"/>
    <n v="499"/>
    <x v="0"/>
    <n v="2"/>
    <n v="1"/>
    <x v="3"/>
    <x v="0"/>
    <x v="991"/>
    <n v="3"/>
    <x v="1"/>
    <n v="36"/>
    <n v="3"/>
    <n v="2"/>
    <x v="0"/>
    <n v="2"/>
    <x v="1"/>
    <n v="4078"/>
    <n v="20497"/>
    <n v="0"/>
    <s v="Y"/>
    <x v="0"/>
    <n v="13"/>
    <n v="3"/>
    <n v="1"/>
    <n v="80"/>
    <n v="3"/>
    <n v="4"/>
    <n v="3"/>
    <n v="2"/>
    <n v="3"/>
    <n v="2"/>
    <n v="1"/>
    <n v="2"/>
  </r>
  <r>
    <x v="22"/>
    <x v="1"/>
    <x v="2"/>
    <n v="1485"/>
    <x v="1"/>
    <n v="25"/>
    <n v="2"/>
    <x v="0"/>
    <x v="0"/>
    <x v="992"/>
    <n v="3"/>
    <x v="1"/>
    <n v="71"/>
    <n v="3"/>
    <n v="3"/>
    <x v="4"/>
    <n v="3"/>
    <x v="1"/>
    <n v="10920"/>
    <n v="3449"/>
    <n v="3"/>
    <s v="Y"/>
    <x v="1"/>
    <n v="21"/>
    <n v="4"/>
    <n v="2"/>
    <n v="80"/>
    <n v="1"/>
    <n v="13"/>
    <n v="2"/>
    <n v="3"/>
    <n v="6"/>
    <n v="4"/>
    <n v="0"/>
    <n v="5"/>
  </r>
  <r>
    <x v="36"/>
    <x v="1"/>
    <x v="0"/>
    <n v="1372"/>
    <x v="0"/>
    <n v="18"/>
    <n v="1"/>
    <x v="0"/>
    <x v="0"/>
    <x v="993"/>
    <n v="1"/>
    <x v="1"/>
    <n v="93"/>
    <n v="4"/>
    <n v="2"/>
    <x v="0"/>
    <n v="3"/>
    <x v="1"/>
    <n v="6232"/>
    <n v="12477"/>
    <n v="2"/>
    <s v="Y"/>
    <x v="1"/>
    <n v="11"/>
    <n v="3"/>
    <n v="2"/>
    <n v="80"/>
    <n v="0"/>
    <n v="6"/>
    <n v="3"/>
    <n v="2"/>
    <n v="3"/>
    <n v="2"/>
    <n v="1"/>
    <n v="2"/>
  </r>
  <r>
    <x v="39"/>
    <x v="1"/>
    <x v="1"/>
    <n v="322"/>
    <x v="1"/>
    <n v="28"/>
    <n v="2"/>
    <x v="2"/>
    <x v="0"/>
    <x v="994"/>
    <n v="4"/>
    <x v="0"/>
    <n v="59"/>
    <n v="4"/>
    <n v="4"/>
    <x v="3"/>
    <n v="3"/>
    <x v="1"/>
    <n v="13247"/>
    <n v="9731"/>
    <n v="2"/>
    <s v="Y"/>
    <x v="0"/>
    <n v="11"/>
    <n v="3"/>
    <n v="2"/>
    <n v="80"/>
    <n v="1"/>
    <n v="24"/>
    <n v="3"/>
    <n v="2"/>
    <n v="5"/>
    <n v="3"/>
    <n v="0"/>
    <n v="2"/>
  </r>
  <r>
    <x v="23"/>
    <x v="1"/>
    <x v="0"/>
    <n v="930"/>
    <x v="1"/>
    <n v="6"/>
    <n v="3"/>
    <x v="2"/>
    <x v="0"/>
    <x v="995"/>
    <n v="1"/>
    <x v="0"/>
    <n v="73"/>
    <n v="2"/>
    <n v="2"/>
    <x v="1"/>
    <n v="3"/>
    <x v="0"/>
    <n v="4081"/>
    <n v="20003"/>
    <n v="1"/>
    <s v="Y"/>
    <x v="0"/>
    <n v="14"/>
    <n v="3"/>
    <n v="1"/>
    <n v="80"/>
    <n v="0"/>
    <n v="20"/>
    <n v="3"/>
    <n v="1"/>
    <n v="20"/>
    <n v="7"/>
    <n v="1"/>
    <n v="8"/>
  </r>
  <r>
    <x v="4"/>
    <x v="1"/>
    <x v="0"/>
    <n v="205"/>
    <x v="0"/>
    <n v="10"/>
    <n v="3"/>
    <x v="3"/>
    <x v="0"/>
    <x v="996"/>
    <n v="4"/>
    <x v="0"/>
    <n v="98"/>
    <n v="2"/>
    <n v="2"/>
    <x v="0"/>
    <n v="4"/>
    <x v="1"/>
    <n v="5769"/>
    <n v="7100"/>
    <n v="1"/>
    <s v="Y"/>
    <x v="0"/>
    <n v="11"/>
    <n v="3"/>
    <n v="4"/>
    <n v="80"/>
    <n v="0"/>
    <n v="6"/>
    <n v="3"/>
    <n v="3"/>
    <n v="6"/>
    <n v="2"/>
    <n v="4"/>
    <n v="4"/>
  </r>
  <r>
    <x v="4"/>
    <x v="0"/>
    <x v="0"/>
    <n v="135"/>
    <x v="1"/>
    <n v="17"/>
    <n v="4"/>
    <x v="0"/>
    <x v="0"/>
    <x v="997"/>
    <n v="4"/>
    <x v="0"/>
    <n v="51"/>
    <n v="3"/>
    <n v="1"/>
    <x v="1"/>
    <n v="3"/>
    <x v="0"/>
    <n v="2394"/>
    <n v="25681"/>
    <n v="1"/>
    <s v="Y"/>
    <x v="0"/>
    <n v="13"/>
    <n v="3"/>
    <n v="4"/>
    <n v="80"/>
    <n v="0"/>
    <n v="8"/>
    <n v="2"/>
    <n v="3"/>
    <n v="8"/>
    <n v="2"/>
    <n v="7"/>
    <n v="7"/>
  </r>
  <r>
    <x v="25"/>
    <x v="1"/>
    <x v="0"/>
    <n v="683"/>
    <x v="1"/>
    <n v="2"/>
    <n v="1"/>
    <x v="2"/>
    <x v="0"/>
    <x v="998"/>
    <n v="1"/>
    <x v="1"/>
    <n v="36"/>
    <n v="2"/>
    <n v="1"/>
    <x v="1"/>
    <n v="4"/>
    <x v="0"/>
    <n v="3904"/>
    <n v="4050"/>
    <n v="0"/>
    <s v="Y"/>
    <x v="1"/>
    <n v="12"/>
    <n v="3"/>
    <n v="4"/>
    <n v="80"/>
    <n v="0"/>
    <n v="5"/>
    <n v="2"/>
    <n v="3"/>
    <n v="4"/>
    <n v="3"/>
    <n v="1"/>
    <n v="1"/>
  </r>
  <r>
    <x v="19"/>
    <x v="1"/>
    <x v="0"/>
    <n v="1147"/>
    <x v="2"/>
    <n v="10"/>
    <n v="3"/>
    <x v="5"/>
    <x v="0"/>
    <x v="999"/>
    <n v="3"/>
    <x v="0"/>
    <n v="31"/>
    <n v="3"/>
    <n v="4"/>
    <x v="5"/>
    <n v="1"/>
    <x v="1"/>
    <n v="16799"/>
    <n v="16616"/>
    <n v="0"/>
    <s v="Y"/>
    <x v="1"/>
    <n v="14"/>
    <n v="3"/>
    <n v="3"/>
    <n v="80"/>
    <n v="1"/>
    <n v="21"/>
    <n v="5"/>
    <n v="3"/>
    <n v="20"/>
    <n v="7"/>
    <n v="0"/>
    <n v="9"/>
  </r>
  <r>
    <x v="39"/>
    <x v="1"/>
    <x v="0"/>
    <n v="258"/>
    <x v="1"/>
    <n v="8"/>
    <n v="4"/>
    <x v="1"/>
    <x v="0"/>
    <x v="1000"/>
    <n v="3"/>
    <x v="0"/>
    <n v="54"/>
    <n v="3"/>
    <n v="1"/>
    <x v="2"/>
    <n v="1"/>
    <x v="1"/>
    <n v="2950"/>
    <n v="17363"/>
    <n v="9"/>
    <s v="Y"/>
    <x v="1"/>
    <n v="13"/>
    <n v="3"/>
    <n v="3"/>
    <n v="80"/>
    <n v="0"/>
    <n v="12"/>
    <n v="2"/>
    <n v="1"/>
    <n v="5"/>
    <n v="4"/>
    <n v="0"/>
    <n v="4"/>
  </r>
  <r>
    <x v="2"/>
    <x v="1"/>
    <x v="0"/>
    <n v="1462"/>
    <x v="1"/>
    <n v="11"/>
    <n v="3"/>
    <x v="2"/>
    <x v="0"/>
    <x v="1001"/>
    <n v="1"/>
    <x v="0"/>
    <n v="94"/>
    <n v="3"/>
    <n v="1"/>
    <x v="2"/>
    <n v="3"/>
    <x v="0"/>
    <n v="3629"/>
    <n v="19106"/>
    <n v="4"/>
    <s v="Y"/>
    <x v="1"/>
    <n v="18"/>
    <n v="3"/>
    <n v="1"/>
    <n v="80"/>
    <n v="0"/>
    <n v="8"/>
    <n v="6"/>
    <n v="3"/>
    <n v="3"/>
    <n v="2"/>
    <n v="0"/>
    <n v="2"/>
  </r>
  <r>
    <x v="10"/>
    <x v="1"/>
    <x v="1"/>
    <n v="200"/>
    <x v="1"/>
    <n v="18"/>
    <n v="2"/>
    <x v="0"/>
    <x v="0"/>
    <x v="1002"/>
    <n v="3"/>
    <x v="1"/>
    <n v="60"/>
    <n v="3"/>
    <n v="3"/>
    <x v="3"/>
    <n v="4"/>
    <x v="0"/>
    <n v="9362"/>
    <n v="19944"/>
    <n v="2"/>
    <s v="Y"/>
    <x v="1"/>
    <n v="11"/>
    <n v="3"/>
    <n v="3"/>
    <n v="80"/>
    <n v="0"/>
    <n v="10"/>
    <n v="2"/>
    <n v="3"/>
    <n v="2"/>
    <n v="2"/>
    <n v="2"/>
    <n v="2"/>
  </r>
  <r>
    <x v="36"/>
    <x v="1"/>
    <x v="0"/>
    <n v="949"/>
    <x v="1"/>
    <n v="1"/>
    <n v="3"/>
    <x v="4"/>
    <x v="0"/>
    <x v="1003"/>
    <n v="1"/>
    <x v="1"/>
    <n v="81"/>
    <n v="3"/>
    <n v="1"/>
    <x v="2"/>
    <n v="4"/>
    <x v="1"/>
    <n v="3229"/>
    <n v="4910"/>
    <n v="4"/>
    <s v="Y"/>
    <x v="1"/>
    <n v="11"/>
    <n v="3"/>
    <n v="2"/>
    <n v="80"/>
    <n v="1"/>
    <n v="7"/>
    <n v="2"/>
    <n v="2"/>
    <n v="3"/>
    <n v="2"/>
    <n v="0"/>
    <n v="2"/>
  </r>
  <r>
    <x v="25"/>
    <x v="1"/>
    <x v="0"/>
    <n v="652"/>
    <x v="1"/>
    <n v="7"/>
    <n v="3"/>
    <x v="1"/>
    <x v="0"/>
    <x v="1004"/>
    <n v="3"/>
    <x v="1"/>
    <n v="100"/>
    <n v="4"/>
    <n v="1"/>
    <x v="2"/>
    <n v="1"/>
    <x v="0"/>
    <n v="3578"/>
    <n v="23577"/>
    <n v="0"/>
    <s v="Y"/>
    <x v="1"/>
    <n v="12"/>
    <n v="3"/>
    <n v="4"/>
    <n v="80"/>
    <n v="0"/>
    <n v="8"/>
    <n v="2"/>
    <n v="3"/>
    <n v="7"/>
    <n v="7"/>
    <n v="0"/>
    <n v="7"/>
  </r>
  <r>
    <x v="11"/>
    <x v="1"/>
    <x v="0"/>
    <n v="332"/>
    <x v="2"/>
    <n v="17"/>
    <n v="3"/>
    <x v="1"/>
    <x v="0"/>
    <x v="1005"/>
    <n v="2"/>
    <x v="1"/>
    <n v="51"/>
    <n v="2"/>
    <n v="3"/>
    <x v="8"/>
    <n v="1"/>
    <x v="0"/>
    <n v="7988"/>
    <n v="9769"/>
    <n v="1"/>
    <s v="Y"/>
    <x v="1"/>
    <n v="13"/>
    <n v="3"/>
    <n v="1"/>
    <n v="80"/>
    <n v="0"/>
    <n v="10"/>
    <n v="3"/>
    <n v="2"/>
    <n v="10"/>
    <n v="9"/>
    <n v="0"/>
    <n v="9"/>
  </r>
  <r>
    <x v="1"/>
    <x v="0"/>
    <x v="1"/>
    <n v="1475"/>
    <x v="1"/>
    <n v="28"/>
    <n v="2"/>
    <x v="0"/>
    <x v="0"/>
    <x v="1006"/>
    <n v="1"/>
    <x v="1"/>
    <n v="97"/>
    <n v="2"/>
    <n v="2"/>
    <x v="2"/>
    <n v="1"/>
    <x v="0"/>
    <n v="4284"/>
    <n v="22710"/>
    <n v="3"/>
    <s v="Y"/>
    <x v="1"/>
    <n v="20"/>
    <n v="4"/>
    <n v="1"/>
    <n v="80"/>
    <n v="0"/>
    <n v="20"/>
    <n v="2"/>
    <n v="3"/>
    <n v="4"/>
    <n v="3"/>
    <n v="1"/>
    <n v="3"/>
  </r>
  <r>
    <x v="11"/>
    <x v="0"/>
    <x v="1"/>
    <n v="337"/>
    <x v="1"/>
    <n v="14"/>
    <n v="1"/>
    <x v="1"/>
    <x v="0"/>
    <x v="1007"/>
    <n v="3"/>
    <x v="0"/>
    <n v="84"/>
    <n v="3"/>
    <n v="3"/>
    <x v="4"/>
    <n v="4"/>
    <x v="0"/>
    <n v="7553"/>
    <n v="22930"/>
    <n v="0"/>
    <s v="Y"/>
    <x v="0"/>
    <n v="12"/>
    <n v="3"/>
    <n v="1"/>
    <n v="80"/>
    <n v="0"/>
    <n v="9"/>
    <n v="1"/>
    <n v="3"/>
    <n v="8"/>
    <n v="7"/>
    <n v="7"/>
    <n v="7"/>
  </r>
  <r>
    <x v="33"/>
    <x v="1"/>
    <x v="0"/>
    <n v="971"/>
    <x v="1"/>
    <n v="1"/>
    <n v="3"/>
    <x v="2"/>
    <x v="0"/>
    <x v="1008"/>
    <n v="4"/>
    <x v="0"/>
    <n v="54"/>
    <n v="3"/>
    <n v="4"/>
    <x v="7"/>
    <n v="4"/>
    <x v="0"/>
    <n v="17328"/>
    <n v="5652"/>
    <n v="6"/>
    <s v="Y"/>
    <x v="1"/>
    <n v="19"/>
    <n v="3"/>
    <n v="4"/>
    <n v="80"/>
    <n v="0"/>
    <n v="29"/>
    <n v="3"/>
    <n v="2"/>
    <n v="20"/>
    <n v="7"/>
    <n v="12"/>
    <n v="7"/>
  </r>
  <r>
    <x v="34"/>
    <x v="1"/>
    <x v="0"/>
    <n v="1055"/>
    <x v="1"/>
    <n v="1"/>
    <n v="3"/>
    <x v="2"/>
    <x v="0"/>
    <x v="1009"/>
    <n v="4"/>
    <x v="0"/>
    <n v="76"/>
    <n v="3"/>
    <n v="5"/>
    <x v="7"/>
    <n v="1"/>
    <x v="1"/>
    <n v="19701"/>
    <n v="22456"/>
    <n v="3"/>
    <s v="Y"/>
    <x v="0"/>
    <n v="21"/>
    <n v="4"/>
    <n v="3"/>
    <n v="80"/>
    <n v="1"/>
    <n v="32"/>
    <n v="3"/>
    <n v="3"/>
    <n v="9"/>
    <n v="8"/>
    <n v="1"/>
    <n v="5"/>
  </r>
  <r>
    <x v="27"/>
    <x v="1"/>
    <x v="0"/>
    <n v="1136"/>
    <x v="1"/>
    <n v="1"/>
    <n v="4"/>
    <x v="2"/>
    <x v="0"/>
    <x v="1010"/>
    <n v="2"/>
    <x v="1"/>
    <n v="81"/>
    <n v="4"/>
    <n v="4"/>
    <x v="7"/>
    <n v="4"/>
    <x v="2"/>
    <n v="14732"/>
    <n v="12414"/>
    <n v="2"/>
    <s v="Y"/>
    <x v="1"/>
    <n v="13"/>
    <n v="3"/>
    <n v="4"/>
    <n v="80"/>
    <n v="2"/>
    <n v="31"/>
    <n v="4"/>
    <n v="4"/>
    <n v="7"/>
    <n v="7"/>
    <n v="0"/>
    <n v="0"/>
  </r>
  <r>
    <x v="9"/>
    <x v="1"/>
    <x v="0"/>
    <n v="1174"/>
    <x v="0"/>
    <n v="3"/>
    <n v="4"/>
    <x v="3"/>
    <x v="0"/>
    <x v="1011"/>
    <n v="1"/>
    <x v="0"/>
    <n v="99"/>
    <n v="3"/>
    <n v="2"/>
    <x v="0"/>
    <n v="2"/>
    <x v="0"/>
    <n v="9278"/>
    <n v="20763"/>
    <n v="3"/>
    <s v="Y"/>
    <x v="0"/>
    <n v="16"/>
    <n v="3"/>
    <n v="4"/>
    <n v="80"/>
    <n v="0"/>
    <n v="15"/>
    <n v="3"/>
    <n v="3"/>
    <n v="5"/>
    <n v="4"/>
    <n v="0"/>
    <n v="1"/>
  </r>
  <r>
    <x v="12"/>
    <x v="0"/>
    <x v="1"/>
    <n v="667"/>
    <x v="0"/>
    <n v="1"/>
    <n v="4"/>
    <x v="0"/>
    <x v="0"/>
    <x v="1012"/>
    <n v="2"/>
    <x v="0"/>
    <n v="50"/>
    <n v="1"/>
    <n v="1"/>
    <x v="6"/>
    <n v="3"/>
    <x v="0"/>
    <n v="1359"/>
    <n v="16154"/>
    <n v="1"/>
    <s v="Y"/>
    <x v="1"/>
    <n v="12"/>
    <n v="3"/>
    <n v="2"/>
    <n v="80"/>
    <n v="0"/>
    <n v="1"/>
    <n v="3"/>
    <n v="3"/>
    <n v="1"/>
    <n v="0"/>
    <n v="0"/>
    <n v="0"/>
  </r>
  <r>
    <x v="7"/>
    <x v="1"/>
    <x v="0"/>
    <n v="855"/>
    <x v="0"/>
    <n v="7"/>
    <n v="4"/>
    <x v="3"/>
    <x v="0"/>
    <x v="1013"/>
    <n v="4"/>
    <x v="0"/>
    <n v="73"/>
    <n v="3"/>
    <n v="2"/>
    <x v="0"/>
    <n v="1"/>
    <x v="2"/>
    <n v="4779"/>
    <n v="12761"/>
    <n v="7"/>
    <s v="Y"/>
    <x v="1"/>
    <n v="14"/>
    <n v="3"/>
    <n v="2"/>
    <n v="80"/>
    <n v="2"/>
    <n v="8"/>
    <n v="3"/>
    <n v="3"/>
    <n v="3"/>
    <n v="2"/>
    <n v="0"/>
    <n v="2"/>
  </r>
  <r>
    <x v="12"/>
    <x v="1"/>
    <x v="0"/>
    <n v="182"/>
    <x v="1"/>
    <n v="8"/>
    <n v="5"/>
    <x v="0"/>
    <x v="0"/>
    <x v="1014"/>
    <n v="1"/>
    <x v="0"/>
    <n v="93"/>
    <n v="3"/>
    <n v="4"/>
    <x v="7"/>
    <n v="2"/>
    <x v="0"/>
    <n v="16422"/>
    <n v="8847"/>
    <n v="3"/>
    <s v="Y"/>
    <x v="1"/>
    <n v="11"/>
    <n v="3"/>
    <n v="3"/>
    <n v="80"/>
    <n v="0"/>
    <n v="9"/>
    <n v="3"/>
    <n v="4"/>
    <n v="3"/>
    <n v="2"/>
    <n v="1"/>
    <n v="0"/>
  </r>
  <r>
    <x v="13"/>
    <x v="1"/>
    <x v="1"/>
    <n v="560"/>
    <x v="1"/>
    <n v="1"/>
    <n v="4"/>
    <x v="1"/>
    <x v="0"/>
    <x v="1015"/>
    <n v="4"/>
    <x v="1"/>
    <n v="91"/>
    <n v="3"/>
    <n v="1"/>
    <x v="1"/>
    <n v="1"/>
    <x v="2"/>
    <n v="2996"/>
    <n v="20284"/>
    <n v="5"/>
    <s v="Y"/>
    <x v="1"/>
    <n v="14"/>
    <n v="3"/>
    <n v="3"/>
    <n v="80"/>
    <n v="2"/>
    <n v="10"/>
    <n v="2"/>
    <n v="3"/>
    <n v="4"/>
    <n v="3"/>
    <n v="1"/>
    <n v="3"/>
  </r>
  <r>
    <x v="12"/>
    <x v="0"/>
    <x v="0"/>
    <n v="202"/>
    <x v="1"/>
    <n v="8"/>
    <n v="3"/>
    <x v="0"/>
    <x v="0"/>
    <x v="1016"/>
    <n v="1"/>
    <x v="0"/>
    <n v="34"/>
    <n v="2"/>
    <n v="1"/>
    <x v="1"/>
    <n v="2"/>
    <x v="0"/>
    <n v="1261"/>
    <n v="22262"/>
    <n v="1"/>
    <s v="Y"/>
    <x v="1"/>
    <n v="12"/>
    <n v="3"/>
    <n v="3"/>
    <n v="80"/>
    <n v="0"/>
    <n v="1"/>
    <n v="3"/>
    <n v="4"/>
    <n v="1"/>
    <n v="0"/>
    <n v="0"/>
    <n v="0"/>
  </r>
  <r>
    <x v="4"/>
    <x v="1"/>
    <x v="0"/>
    <n v="1377"/>
    <x v="1"/>
    <n v="11"/>
    <n v="1"/>
    <x v="0"/>
    <x v="0"/>
    <x v="1017"/>
    <n v="2"/>
    <x v="1"/>
    <n v="91"/>
    <n v="3"/>
    <n v="1"/>
    <x v="2"/>
    <n v="1"/>
    <x v="1"/>
    <n v="2099"/>
    <n v="7679"/>
    <n v="0"/>
    <s v="Y"/>
    <x v="1"/>
    <n v="14"/>
    <n v="3"/>
    <n v="2"/>
    <n v="80"/>
    <n v="0"/>
    <n v="6"/>
    <n v="3"/>
    <n v="4"/>
    <n v="5"/>
    <n v="0"/>
    <n v="1"/>
    <n v="4"/>
  </r>
  <r>
    <x v="9"/>
    <x v="1"/>
    <x v="0"/>
    <n v="172"/>
    <x v="1"/>
    <n v="4"/>
    <n v="4"/>
    <x v="0"/>
    <x v="0"/>
    <x v="1018"/>
    <n v="1"/>
    <x v="1"/>
    <n v="37"/>
    <n v="2"/>
    <n v="2"/>
    <x v="2"/>
    <n v="4"/>
    <x v="0"/>
    <n v="5810"/>
    <n v="22604"/>
    <n v="1"/>
    <s v="Y"/>
    <x v="1"/>
    <n v="16"/>
    <n v="3"/>
    <n v="3"/>
    <n v="80"/>
    <n v="0"/>
    <n v="10"/>
    <n v="2"/>
    <n v="2"/>
    <n v="10"/>
    <n v="4"/>
    <n v="1"/>
    <n v="8"/>
  </r>
  <r>
    <x v="9"/>
    <x v="1"/>
    <x v="0"/>
    <n v="329"/>
    <x v="0"/>
    <n v="16"/>
    <n v="4"/>
    <x v="3"/>
    <x v="0"/>
    <x v="1019"/>
    <n v="3"/>
    <x v="0"/>
    <n v="98"/>
    <n v="2"/>
    <n v="2"/>
    <x v="0"/>
    <n v="1"/>
    <x v="1"/>
    <n v="5647"/>
    <n v="13494"/>
    <n v="4"/>
    <s v="Y"/>
    <x v="1"/>
    <n v="13"/>
    <n v="3"/>
    <n v="1"/>
    <n v="80"/>
    <n v="2"/>
    <n v="11"/>
    <n v="3"/>
    <n v="2"/>
    <n v="3"/>
    <n v="2"/>
    <n v="0"/>
    <n v="2"/>
  </r>
  <r>
    <x v="40"/>
    <x v="1"/>
    <x v="0"/>
    <n v="465"/>
    <x v="1"/>
    <n v="1"/>
    <n v="3"/>
    <x v="4"/>
    <x v="0"/>
    <x v="1020"/>
    <n v="1"/>
    <x v="1"/>
    <n v="74"/>
    <n v="3"/>
    <n v="1"/>
    <x v="1"/>
    <n v="4"/>
    <x v="1"/>
    <n v="3420"/>
    <n v="10205"/>
    <n v="7"/>
    <s v="Y"/>
    <x v="1"/>
    <n v="12"/>
    <n v="3"/>
    <n v="3"/>
    <n v="80"/>
    <n v="1"/>
    <n v="17"/>
    <n v="2"/>
    <n v="2"/>
    <n v="6"/>
    <n v="5"/>
    <n v="1"/>
    <n v="2"/>
  </r>
  <r>
    <x v="36"/>
    <x v="0"/>
    <x v="0"/>
    <n v="383"/>
    <x v="0"/>
    <n v="9"/>
    <n v="2"/>
    <x v="0"/>
    <x v="0"/>
    <x v="1021"/>
    <n v="1"/>
    <x v="1"/>
    <n v="68"/>
    <n v="2"/>
    <n v="1"/>
    <x v="6"/>
    <n v="1"/>
    <x v="1"/>
    <n v="4400"/>
    <n v="15182"/>
    <n v="3"/>
    <s v="Y"/>
    <x v="1"/>
    <n v="12"/>
    <n v="3"/>
    <n v="1"/>
    <n v="80"/>
    <n v="0"/>
    <n v="6"/>
    <n v="2"/>
    <n v="3"/>
    <n v="3"/>
    <n v="2"/>
    <n v="2"/>
    <n v="2"/>
  </r>
  <r>
    <x v="2"/>
    <x v="1"/>
    <x v="2"/>
    <n v="1413"/>
    <x v="1"/>
    <n v="5"/>
    <n v="2"/>
    <x v="4"/>
    <x v="0"/>
    <x v="1022"/>
    <n v="3"/>
    <x v="1"/>
    <n v="84"/>
    <n v="4"/>
    <n v="1"/>
    <x v="2"/>
    <n v="3"/>
    <x v="0"/>
    <n v="3500"/>
    <n v="25470"/>
    <n v="0"/>
    <s v="Y"/>
    <x v="1"/>
    <n v="14"/>
    <n v="3"/>
    <n v="1"/>
    <n v="80"/>
    <n v="0"/>
    <n v="7"/>
    <n v="2"/>
    <n v="1"/>
    <n v="6"/>
    <n v="5"/>
    <n v="1"/>
    <n v="3"/>
  </r>
  <r>
    <x v="29"/>
    <x v="1"/>
    <x v="0"/>
    <n v="1255"/>
    <x v="1"/>
    <n v="1"/>
    <n v="2"/>
    <x v="0"/>
    <x v="0"/>
    <x v="1023"/>
    <n v="1"/>
    <x v="0"/>
    <n v="90"/>
    <n v="3"/>
    <n v="1"/>
    <x v="1"/>
    <n v="1"/>
    <x v="1"/>
    <n v="2066"/>
    <n v="10494"/>
    <n v="2"/>
    <s v="Y"/>
    <x v="1"/>
    <n v="22"/>
    <n v="4"/>
    <n v="4"/>
    <n v="80"/>
    <n v="1"/>
    <n v="5"/>
    <n v="3"/>
    <n v="4"/>
    <n v="3"/>
    <n v="2"/>
    <n v="1"/>
    <n v="0"/>
  </r>
  <r>
    <x v="40"/>
    <x v="1"/>
    <x v="0"/>
    <n v="359"/>
    <x v="1"/>
    <n v="2"/>
    <n v="4"/>
    <x v="2"/>
    <x v="0"/>
    <x v="1024"/>
    <n v="1"/>
    <x v="0"/>
    <n v="82"/>
    <n v="3"/>
    <n v="4"/>
    <x v="7"/>
    <n v="3"/>
    <x v="1"/>
    <n v="17169"/>
    <n v="26703"/>
    <n v="3"/>
    <s v="Y"/>
    <x v="1"/>
    <n v="19"/>
    <n v="3"/>
    <n v="2"/>
    <n v="80"/>
    <n v="2"/>
    <n v="26"/>
    <n v="2"/>
    <n v="4"/>
    <n v="20"/>
    <n v="17"/>
    <n v="5"/>
    <n v="6"/>
  </r>
  <r>
    <x v="17"/>
    <x v="1"/>
    <x v="0"/>
    <n v="1476"/>
    <x v="0"/>
    <n v="4"/>
    <n v="1"/>
    <x v="2"/>
    <x v="0"/>
    <x v="1025"/>
    <n v="4"/>
    <x v="0"/>
    <n v="42"/>
    <n v="3"/>
    <n v="2"/>
    <x v="0"/>
    <n v="3"/>
    <x v="1"/>
    <n v="4162"/>
    <n v="15211"/>
    <n v="1"/>
    <s v="Y"/>
    <x v="0"/>
    <n v="12"/>
    <n v="3"/>
    <n v="3"/>
    <n v="80"/>
    <n v="2"/>
    <n v="5"/>
    <n v="3"/>
    <n v="3"/>
    <n v="5"/>
    <n v="4"/>
    <n v="0"/>
    <n v="3"/>
  </r>
  <r>
    <x v="5"/>
    <x v="1"/>
    <x v="0"/>
    <n v="601"/>
    <x v="0"/>
    <n v="7"/>
    <n v="5"/>
    <x v="3"/>
    <x v="0"/>
    <x v="1026"/>
    <n v="4"/>
    <x v="1"/>
    <n v="97"/>
    <n v="3"/>
    <n v="2"/>
    <x v="0"/>
    <n v="4"/>
    <x v="1"/>
    <n v="9204"/>
    <n v="23343"/>
    <n v="4"/>
    <s v="Y"/>
    <x v="1"/>
    <n v="12"/>
    <n v="3"/>
    <n v="3"/>
    <n v="80"/>
    <n v="1"/>
    <n v="7"/>
    <n v="3"/>
    <n v="2"/>
    <n v="4"/>
    <n v="3"/>
    <n v="0"/>
    <n v="3"/>
  </r>
  <r>
    <x v="13"/>
    <x v="1"/>
    <x v="0"/>
    <n v="401"/>
    <x v="1"/>
    <n v="1"/>
    <n v="3"/>
    <x v="0"/>
    <x v="0"/>
    <x v="1027"/>
    <n v="4"/>
    <x v="0"/>
    <n v="86"/>
    <n v="2"/>
    <n v="1"/>
    <x v="2"/>
    <n v="2"/>
    <x v="1"/>
    <n v="3294"/>
    <n v="3708"/>
    <n v="5"/>
    <s v="Y"/>
    <x v="1"/>
    <n v="17"/>
    <n v="3"/>
    <n v="1"/>
    <n v="80"/>
    <n v="1"/>
    <n v="7"/>
    <n v="2"/>
    <n v="2"/>
    <n v="5"/>
    <n v="4"/>
    <n v="0"/>
    <n v="2"/>
  </r>
  <r>
    <x v="0"/>
    <x v="1"/>
    <x v="0"/>
    <n v="1283"/>
    <x v="1"/>
    <n v="5"/>
    <n v="5"/>
    <x v="2"/>
    <x v="0"/>
    <x v="1028"/>
    <n v="2"/>
    <x v="1"/>
    <n v="90"/>
    <n v="4"/>
    <n v="1"/>
    <x v="1"/>
    <n v="3"/>
    <x v="1"/>
    <n v="2127"/>
    <n v="5561"/>
    <n v="2"/>
    <s v="Y"/>
    <x v="0"/>
    <n v="12"/>
    <n v="3"/>
    <n v="1"/>
    <n v="80"/>
    <n v="0"/>
    <n v="7"/>
    <n v="5"/>
    <n v="2"/>
    <n v="4"/>
    <n v="2"/>
    <n v="0"/>
    <n v="3"/>
  </r>
  <r>
    <x v="32"/>
    <x v="1"/>
    <x v="2"/>
    <n v="663"/>
    <x v="1"/>
    <n v="9"/>
    <n v="4"/>
    <x v="1"/>
    <x v="0"/>
    <x v="1029"/>
    <n v="3"/>
    <x v="1"/>
    <n v="81"/>
    <n v="3"/>
    <n v="2"/>
    <x v="2"/>
    <n v="3"/>
    <x v="2"/>
    <n v="3975"/>
    <n v="23099"/>
    <n v="3"/>
    <s v="Y"/>
    <x v="1"/>
    <n v="11"/>
    <n v="3"/>
    <n v="3"/>
    <n v="80"/>
    <n v="2"/>
    <n v="11"/>
    <n v="2"/>
    <n v="4"/>
    <n v="8"/>
    <n v="7"/>
    <n v="0"/>
    <n v="7"/>
  </r>
  <r>
    <x v="12"/>
    <x v="1"/>
    <x v="0"/>
    <n v="326"/>
    <x v="0"/>
    <n v="8"/>
    <n v="2"/>
    <x v="0"/>
    <x v="0"/>
    <x v="1030"/>
    <n v="1"/>
    <x v="1"/>
    <n v="31"/>
    <n v="3"/>
    <n v="3"/>
    <x v="0"/>
    <n v="4"/>
    <x v="2"/>
    <n v="10793"/>
    <n v="8386"/>
    <n v="1"/>
    <s v="Y"/>
    <x v="1"/>
    <n v="18"/>
    <n v="3"/>
    <n v="1"/>
    <n v="80"/>
    <n v="1"/>
    <n v="13"/>
    <n v="5"/>
    <n v="3"/>
    <n v="13"/>
    <n v="7"/>
    <n v="9"/>
    <n v="9"/>
  </r>
  <r>
    <x v="21"/>
    <x v="0"/>
    <x v="0"/>
    <n v="377"/>
    <x v="0"/>
    <n v="9"/>
    <n v="3"/>
    <x v="3"/>
    <x v="0"/>
    <x v="1031"/>
    <n v="1"/>
    <x v="1"/>
    <n v="52"/>
    <n v="3"/>
    <n v="3"/>
    <x v="0"/>
    <n v="4"/>
    <x v="2"/>
    <n v="10096"/>
    <n v="15986"/>
    <n v="4"/>
    <s v="Y"/>
    <x v="1"/>
    <n v="11"/>
    <n v="3"/>
    <n v="1"/>
    <n v="80"/>
    <n v="1"/>
    <n v="28"/>
    <n v="1"/>
    <n v="4"/>
    <n v="7"/>
    <n v="7"/>
    <n v="4"/>
    <n v="3"/>
  </r>
  <r>
    <x v="22"/>
    <x v="0"/>
    <x v="2"/>
    <n v="592"/>
    <x v="1"/>
    <n v="2"/>
    <n v="3"/>
    <x v="0"/>
    <x v="0"/>
    <x v="1032"/>
    <n v="1"/>
    <x v="0"/>
    <n v="54"/>
    <n v="2"/>
    <n v="1"/>
    <x v="2"/>
    <n v="1"/>
    <x v="0"/>
    <n v="3646"/>
    <n v="17181"/>
    <n v="2"/>
    <s v="Y"/>
    <x v="0"/>
    <n v="23"/>
    <n v="4"/>
    <n v="2"/>
    <n v="80"/>
    <n v="0"/>
    <n v="11"/>
    <n v="2"/>
    <n v="4"/>
    <n v="1"/>
    <n v="0"/>
    <n v="0"/>
    <n v="0"/>
  </r>
  <r>
    <x v="12"/>
    <x v="0"/>
    <x v="1"/>
    <n v="1445"/>
    <x v="1"/>
    <n v="1"/>
    <n v="5"/>
    <x v="0"/>
    <x v="0"/>
    <x v="1033"/>
    <n v="3"/>
    <x v="0"/>
    <n v="100"/>
    <n v="4"/>
    <n v="3"/>
    <x v="3"/>
    <n v="2"/>
    <x v="0"/>
    <n v="7446"/>
    <n v="8931"/>
    <n v="1"/>
    <s v="Y"/>
    <x v="1"/>
    <n v="11"/>
    <n v="3"/>
    <n v="1"/>
    <n v="80"/>
    <n v="0"/>
    <n v="10"/>
    <n v="2"/>
    <n v="3"/>
    <n v="10"/>
    <n v="8"/>
    <n v="4"/>
    <n v="7"/>
  </r>
  <r>
    <x v="28"/>
    <x v="1"/>
    <x v="0"/>
    <n v="1038"/>
    <x v="1"/>
    <n v="20"/>
    <n v="3"/>
    <x v="2"/>
    <x v="0"/>
    <x v="1034"/>
    <n v="2"/>
    <x v="1"/>
    <n v="95"/>
    <n v="1"/>
    <n v="3"/>
    <x v="4"/>
    <n v="1"/>
    <x v="2"/>
    <n v="10851"/>
    <n v="19863"/>
    <n v="2"/>
    <s v="Y"/>
    <x v="0"/>
    <n v="18"/>
    <n v="3"/>
    <n v="2"/>
    <n v="80"/>
    <n v="1"/>
    <n v="24"/>
    <n v="2"/>
    <n v="3"/>
    <n v="7"/>
    <n v="7"/>
    <n v="0"/>
    <n v="7"/>
  </r>
  <r>
    <x v="12"/>
    <x v="1"/>
    <x v="0"/>
    <n v="1398"/>
    <x v="2"/>
    <n v="8"/>
    <n v="2"/>
    <x v="2"/>
    <x v="0"/>
    <x v="1035"/>
    <n v="4"/>
    <x v="0"/>
    <n v="96"/>
    <n v="4"/>
    <n v="1"/>
    <x v="8"/>
    <n v="2"/>
    <x v="0"/>
    <n v="2109"/>
    <n v="24609"/>
    <n v="9"/>
    <s v="Y"/>
    <x v="1"/>
    <n v="18"/>
    <n v="3"/>
    <n v="4"/>
    <n v="80"/>
    <n v="0"/>
    <n v="8"/>
    <n v="3"/>
    <n v="3"/>
    <n v="3"/>
    <n v="2"/>
    <n v="0"/>
    <n v="2"/>
  </r>
  <r>
    <x v="12"/>
    <x v="0"/>
    <x v="1"/>
    <n v="523"/>
    <x v="1"/>
    <n v="2"/>
    <n v="3"/>
    <x v="0"/>
    <x v="0"/>
    <x v="1036"/>
    <n v="2"/>
    <x v="1"/>
    <n v="94"/>
    <n v="3"/>
    <n v="1"/>
    <x v="2"/>
    <n v="4"/>
    <x v="1"/>
    <n v="3722"/>
    <n v="21081"/>
    <n v="6"/>
    <s v="Y"/>
    <x v="0"/>
    <n v="13"/>
    <n v="3"/>
    <n v="3"/>
    <n v="80"/>
    <n v="1"/>
    <n v="7"/>
    <n v="2"/>
    <n v="1"/>
    <n v="2"/>
    <n v="2"/>
    <n v="2"/>
    <n v="2"/>
  </r>
  <r>
    <x v="28"/>
    <x v="1"/>
    <x v="0"/>
    <n v="1448"/>
    <x v="1"/>
    <n v="29"/>
    <n v="3"/>
    <x v="4"/>
    <x v="0"/>
    <x v="1037"/>
    <n v="2"/>
    <x v="1"/>
    <n v="55"/>
    <n v="3"/>
    <n v="3"/>
    <x v="3"/>
    <n v="4"/>
    <x v="1"/>
    <n v="9380"/>
    <n v="14720"/>
    <n v="4"/>
    <s v="Y"/>
    <x v="0"/>
    <n v="18"/>
    <n v="3"/>
    <n v="4"/>
    <n v="80"/>
    <n v="2"/>
    <n v="10"/>
    <n v="4"/>
    <n v="4"/>
    <n v="3"/>
    <n v="1"/>
    <n v="1"/>
    <n v="2"/>
  </r>
  <r>
    <x v="26"/>
    <x v="1"/>
    <x v="0"/>
    <n v="1221"/>
    <x v="0"/>
    <n v="7"/>
    <n v="3"/>
    <x v="3"/>
    <x v="0"/>
    <x v="1038"/>
    <n v="3"/>
    <x v="1"/>
    <n v="96"/>
    <n v="3"/>
    <n v="2"/>
    <x v="0"/>
    <n v="1"/>
    <x v="2"/>
    <n v="5486"/>
    <n v="24795"/>
    <n v="4"/>
    <s v="Y"/>
    <x v="1"/>
    <n v="11"/>
    <n v="3"/>
    <n v="1"/>
    <n v="80"/>
    <n v="3"/>
    <n v="15"/>
    <n v="3"/>
    <n v="3"/>
    <n v="2"/>
    <n v="2"/>
    <n v="2"/>
    <n v="2"/>
  </r>
  <r>
    <x v="13"/>
    <x v="0"/>
    <x v="0"/>
    <n v="1107"/>
    <x v="2"/>
    <n v="9"/>
    <n v="4"/>
    <x v="4"/>
    <x v="0"/>
    <x v="1039"/>
    <n v="1"/>
    <x v="0"/>
    <n v="52"/>
    <n v="3"/>
    <n v="1"/>
    <x v="8"/>
    <n v="3"/>
    <x v="1"/>
    <n v="2742"/>
    <n v="3072"/>
    <n v="1"/>
    <s v="Y"/>
    <x v="1"/>
    <n v="15"/>
    <n v="3"/>
    <n v="4"/>
    <n v="80"/>
    <n v="0"/>
    <n v="2"/>
    <n v="0"/>
    <n v="3"/>
    <n v="2"/>
    <n v="2"/>
    <n v="2"/>
    <n v="2"/>
  </r>
  <r>
    <x v="32"/>
    <x v="1"/>
    <x v="2"/>
    <n v="218"/>
    <x v="1"/>
    <n v="8"/>
    <n v="1"/>
    <x v="2"/>
    <x v="0"/>
    <x v="1040"/>
    <n v="4"/>
    <x v="1"/>
    <n v="55"/>
    <n v="2"/>
    <n v="3"/>
    <x v="7"/>
    <n v="2"/>
    <x v="2"/>
    <n v="13757"/>
    <n v="25178"/>
    <n v="2"/>
    <s v="Y"/>
    <x v="1"/>
    <n v="11"/>
    <n v="3"/>
    <n v="3"/>
    <n v="80"/>
    <n v="1"/>
    <n v="16"/>
    <n v="5"/>
    <n v="3"/>
    <n v="9"/>
    <n v="8"/>
    <n v="4"/>
    <n v="8"/>
  </r>
  <r>
    <x v="14"/>
    <x v="1"/>
    <x v="0"/>
    <n v="866"/>
    <x v="0"/>
    <n v="5"/>
    <n v="3"/>
    <x v="2"/>
    <x v="0"/>
    <x v="1041"/>
    <n v="4"/>
    <x v="1"/>
    <n v="84"/>
    <n v="3"/>
    <n v="2"/>
    <x v="0"/>
    <n v="1"/>
    <x v="0"/>
    <n v="8463"/>
    <n v="23490"/>
    <n v="0"/>
    <s v="Y"/>
    <x v="1"/>
    <n v="18"/>
    <n v="3"/>
    <n v="4"/>
    <n v="80"/>
    <n v="0"/>
    <n v="6"/>
    <n v="4"/>
    <n v="3"/>
    <n v="5"/>
    <n v="4"/>
    <n v="1"/>
    <n v="3"/>
  </r>
  <r>
    <x v="20"/>
    <x v="1"/>
    <x v="2"/>
    <n v="981"/>
    <x v="1"/>
    <n v="5"/>
    <n v="3"/>
    <x v="0"/>
    <x v="0"/>
    <x v="1042"/>
    <n v="3"/>
    <x v="1"/>
    <n v="90"/>
    <n v="2"/>
    <n v="1"/>
    <x v="2"/>
    <n v="3"/>
    <x v="0"/>
    <n v="3162"/>
    <n v="7973"/>
    <n v="3"/>
    <s v="Y"/>
    <x v="1"/>
    <n v="14"/>
    <n v="3"/>
    <n v="4"/>
    <n v="80"/>
    <n v="0"/>
    <n v="7"/>
    <n v="5"/>
    <n v="3"/>
    <n v="5"/>
    <n v="2"/>
    <n v="0"/>
    <n v="3"/>
  </r>
  <r>
    <x v="16"/>
    <x v="1"/>
    <x v="0"/>
    <n v="447"/>
    <x v="1"/>
    <n v="2"/>
    <n v="3"/>
    <x v="2"/>
    <x v="0"/>
    <x v="1043"/>
    <n v="4"/>
    <x v="1"/>
    <n v="39"/>
    <n v="4"/>
    <n v="4"/>
    <x v="7"/>
    <n v="2"/>
    <x v="0"/>
    <n v="16598"/>
    <n v="19764"/>
    <n v="4"/>
    <s v="Y"/>
    <x v="1"/>
    <n v="12"/>
    <n v="3"/>
    <n v="2"/>
    <n v="80"/>
    <n v="0"/>
    <n v="35"/>
    <n v="2"/>
    <n v="2"/>
    <n v="9"/>
    <n v="8"/>
    <n v="8"/>
    <n v="8"/>
  </r>
  <r>
    <x v="1"/>
    <x v="1"/>
    <x v="0"/>
    <n v="1495"/>
    <x v="1"/>
    <n v="5"/>
    <n v="4"/>
    <x v="4"/>
    <x v="0"/>
    <x v="1044"/>
    <n v="1"/>
    <x v="1"/>
    <n v="96"/>
    <n v="3"/>
    <n v="2"/>
    <x v="4"/>
    <n v="3"/>
    <x v="1"/>
    <n v="6651"/>
    <n v="21534"/>
    <n v="2"/>
    <s v="Y"/>
    <x v="1"/>
    <n v="14"/>
    <n v="3"/>
    <n v="2"/>
    <n v="80"/>
    <n v="1"/>
    <n v="20"/>
    <n v="0"/>
    <n v="2"/>
    <n v="3"/>
    <n v="2"/>
    <n v="1"/>
    <n v="2"/>
  </r>
  <r>
    <x v="32"/>
    <x v="1"/>
    <x v="0"/>
    <n v="896"/>
    <x v="1"/>
    <n v="2"/>
    <n v="3"/>
    <x v="2"/>
    <x v="0"/>
    <x v="1045"/>
    <n v="3"/>
    <x v="1"/>
    <n v="68"/>
    <n v="3"/>
    <n v="1"/>
    <x v="1"/>
    <n v="3"/>
    <x v="2"/>
    <n v="2345"/>
    <n v="8045"/>
    <n v="2"/>
    <s v="Y"/>
    <x v="1"/>
    <n v="14"/>
    <n v="3"/>
    <n v="3"/>
    <n v="80"/>
    <n v="1"/>
    <n v="8"/>
    <n v="3"/>
    <n v="4"/>
    <n v="3"/>
    <n v="1"/>
    <n v="1"/>
    <n v="2"/>
  </r>
  <r>
    <x v="20"/>
    <x v="1"/>
    <x v="0"/>
    <n v="1467"/>
    <x v="1"/>
    <n v="20"/>
    <n v="3"/>
    <x v="0"/>
    <x v="0"/>
    <x v="1046"/>
    <n v="4"/>
    <x v="1"/>
    <n v="49"/>
    <n v="3"/>
    <n v="1"/>
    <x v="1"/>
    <n v="2"/>
    <x v="0"/>
    <n v="3420"/>
    <n v="21158"/>
    <n v="1"/>
    <s v="Y"/>
    <x v="1"/>
    <n v="13"/>
    <n v="3"/>
    <n v="3"/>
    <n v="80"/>
    <n v="0"/>
    <n v="6"/>
    <n v="3"/>
    <n v="2"/>
    <n v="5"/>
    <n v="2"/>
    <n v="1"/>
    <n v="3"/>
  </r>
  <r>
    <x v="3"/>
    <x v="1"/>
    <x v="1"/>
    <n v="430"/>
    <x v="0"/>
    <n v="7"/>
    <n v="3"/>
    <x v="2"/>
    <x v="0"/>
    <x v="1047"/>
    <n v="4"/>
    <x v="1"/>
    <n v="54"/>
    <n v="3"/>
    <n v="2"/>
    <x v="0"/>
    <n v="1"/>
    <x v="1"/>
    <n v="4373"/>
    <n v="17456"/>
    <n v="0"/>
    <s v="Y"/>
    <x v="1"/>
    <n v="14"/>
    <n v="3"/>
    <n v="1"/>
    <n v="80"/>
    <n v="2"/>
    <n v="5"/>
    <n v="2"/>
    <n v="3"/>
    <n v="4"/>
    <n v="3"/>
    <n v="0"/>
    <n v="3"/>
  </r>
  <r>
    <x v="13"/>
    <x v="1"/>
    <x v="0"/>
    <n v="1326"/>
    <x v="0"/>
    <n v="3"/>
    <n v="3"/>
    <x v="1"/>
    <x v="0"/>
    <x v="1048"/>
    <n v="4"/>
    <x v="1"/>
    <n v="81"/>
    <n v="1"/>
    <n v="2"/>
    <x v="0"/>
    <n v="1"/>
    <x v="0"/>
    <n v="4759"/>
    <n v="15891"/>
    <n v="3"/>
    <s v="Y"/>
    <x v="1"/>
    <n v="18"/>
    <n v="3"/>
    <n v="4"/>
    <n v="80"/>
    <n v="0"/>
    <n v="15"/>
    <n v="2"/>
    <n v="3"/>
    <n v="13"/>
    <n v="9"/>
    <n v="3"/>
    <n v="12"/>
  </r>
  <r>
    <x v="7"/>
    <x v="1"/>
    <x v="0"/>
    <n v="1358"/>
    <x v="0"/>
    <n v="16"/>
    <n v="1"/>
    <x v="0"/>
    <x v="0"/>
    <x v="1049"/>
    <n v="4"/>
    <x v="1"/>
    <n v="96"/>
    <n v="3"/>
    <n v="2"/>
    <x v="0"/>
    <n v="3"/>
    <x v="1"/>
    <n v="5301"/>
    <n v="2939"/>
    <n v="8"/>
    <s v="Y"/>
    <x v="1"/>
    <n v="15"/>
    <n v="3"/>
    <n v="3"/>
    <n v="80"/>
    <n v="2"/>
    <n v="4"/>
    <n v="2"/>
    <n v="2"/>
    <n v="2"/>
    <n v="1"/>
    <n v="2"/>
    <n v="2"/>
  </r>
  <r>
    <x v="19"/>
    <x v="1"/>
    <x v="1"/>
    <n v="748"/>
    <x v="1"/>
    <n v="9"/>
    <n v="2"/>
    <x v="2"/>
    <x v="0"/>
    <x v="1050"/>
    <n v="1"/>
    <x v="0"/>
    <n v="74"/>
    <n v="3"/>
    <n v="1"/>
    <x v="2"/>
    <n v="4"/>
    <x v="0"/>
    <n v="3673"/>
    <n v="16458"/>
    <n v="1"/>
    <s v="Y"/>
    <x v="1"/>
    <n v="13"/>
    <n v="3"/>
    <n v="3"/>
    <n v="80"/>
    <n v="0"/>
    <n v="12"/>
    <n v="3"/>
    <n v="3"/>
    <n v="12"/>
    <n v="9"/>
    <n v="5"/>
    <n v="8"/>
  </r>
  <r>
    <x v="20"/>
    <x v="1"/>
    <x v="1"/>
    <n v="383"/>
    <x v="0"/>
    <n v="1"/>
    <n v="5"/>
    <x v="3"/>
    <x v="0"/>
    <x v="1051"/>
    <n v="1"/>
    <x v="0"/>
    <n v="79"/>
    <n v="3"/>
    <n v="2"/>
    <x v="0"/>
    <n v="3"/>
    <x v="1"/>
    <n v="4768"/>
    <n v="9282"/>
    <n v="7"/>
    <s v="Y"/>
    <x v="1"/>
    <n v="12"/>
    <n v="3"/>
    <n v="3"/>
    <n v="80"/>
    <n v="1"/>
    <n v="11"/>
    <n v="4"/>
    <n v="2"/>
    <n v="1"/>
    <n v="0"/>
    <n v="0"/>
    <n v="0"/>
  </r>
  <r>
    <x v="7"/>
    <x v="1"/>
    <x v="2"/>
    <n v="990"/>
    <x v="1"/>
    <n v="7"/>
    <n v="3"/>
    <x v="4"/>
    <x v="0"/>
    <x v="1052"/>
    <n v="3"/>
    <x v="1"/>
    <n v="64"/>
    <n v="3"/>
    <n v="1"/>
    <x v="1"/>
    <n v="3"/>
    <x v="2"/>
    <n v="1274"/>
    <n v="7152"/>
    <n v="1"/>
    <s v="Y"/>
    <x v="1"/>
    <n v="13"/>
    <n v="3"/>
    <n v="2"/>
    <n v="80"/>
    <n v="2"/>
    <n v="1"/>
    <n v="2"/>
    <n v="2"/>
    <n v="1"/>
    <n v="0"/>
    <n v="0"/>
    <n v="0"/>
  </r>
  <r>
    <x v="38"/>
    <x v="1"/>
    <x v="0"/>
    <n v="405"/>
    <x v="1"/>
    <n v="1"/>
    <n v="2"/>
    <x v="0"/>
    <x v="0"/>
    <x v="1053"/>
    <n v="2"/>
    <x v="1"/>
    <n v="93"/>
    <n v="4"/>
    <n v="2"/>
    <x v="1"/>
    <n v="3"/>
    <x v="1"/>
    <n v="4900"/>
    <n v="2721"/>
    <n v="0"/>
    <s v="Y"/>
    <x v="1"/>
    <n v="24"/>
    <n v="4"/>
    <n v="1"/>
    <n v="80"/>
    <n v="1"/>
    <n v="13"/>
    <n v="2"/>
    <n v="2"/>
    <n v="12"/>
    <n v="9"/>
    <n v="2"/>
    <n v="8"/>
  </r>
  <r>
    <x v="1"/>
    <x v="1"/>
    <x v="0"/>
    <n v="1490"/>
    <x v="1"/>
    <n v="7"/>
    <n v="4"/>
    <x v="0"/>
    <x v="0"/>
    <x v="1054"/>
    <n v="3"/>
    <x v="1"/>
    <n v="35"/>
    <n v="3"/>
    <n v="3"/>
    <x v="4"/>
    <n v="2"/>
    <x v="2"/>
    <n v="10466"/>
    <n v="20948"/>
    <n v="3"/>
    <s v="Y"/>
    <x v="1"/>
    <n v="14"/>
    <n v="3"/>
    <n v="2"/>
    <n v="80"/>
    <n v="2"/>
    <n v="29"/>
    <n v="3"/>
    <n v="3"/>
    <n v="8"/>
    <n v="7"/>
    <n v="0"/>
    <n v="7"/>
  </r>
  <r>
    <x v="13"/>
    <x v="1"/>
    <x v="1"/>
    <n v="829"/>
    <x v="1"/>
    <n v="15"/>
    <n v="3"/>
    <x v="2"/>
    <x v="0"/>
    <x v="1055"/>
    <n v="2"/>
    <x v="1"/>
    <n v="71"/>
    <n v="3"/>
    <n v="4"/>
    <x v="7"/>
    <n v="1"/>
    <x v="2"/>
    <n v="17007"/>
    <n v="11929"/>
    <n v="7"/>
    <s v="Y"/>
    <x v="1"/>
    <n v="14"/>
    <n v="3"/>
    <n v="4"/>
    <n v="80"/>
    <n v="2"/>
    <n v="16"/>
    <n v="3"/>
    <n v="2"/>
    <n v="14"/>
    <n v="8"/>
    <n v="6"/>
    <n v="9"/>
  </r>
  <r>
    <x v="14"/>
    <x v="0"/>
    <x v="1"/>
    <n v="1496"/>
    <x v="0"/>
    <n v="1"/>
    <n v="3"/>
    <x v="4"/>
    <x v="0"/>
    <x v="1056"/>
    <n v="1"/>
    <x v="1"/>
    <n v="92"/>
    <n v="3"/>
    <n v="1"/>
    <x v="6"/>
    <n v="3"/>
    <x v="1"/>
    <n v="2909"/>
    <n v="15747"/>
    <n v="3"/>
    <s v="Y"/>
    <x v="1"/>
    <n v="15"/>
    <n v="3"/>
    <n v="4"/>
    <n v="80"/>
    <n v="1"/>
    <n v="5"/>
    <n v="3"/>
    <n v="4"/>
    <n v="3"/>
    <n v="2"/>
    <n v="1"/>
    <n v="2"/>
  </r>
  <r>
    <x v="11"/>
    <x v="0"/>
    <x v="1"/>
    <n v="115"/>
    <x v="0"/>
    <n v="13"/>
    <n v="3"/>
    <x v="4"/>
    <x v="0"/>
    <x v="1057"/>
    <n v="1"/>
    <x v="0"/>
    <n v="51"/>
    <n v="3"/>
    <n v="2"/>
    <x v="0"/>
    <n v="2"/>
    <x v="0"/>
    <n v="5765"/>
    <n v="17485"/>
    <n v="5"/>
    <s v="Y"/>
    <x v="1"/>
    <n v="11"/>
    <n v="3"/>
    <n v="1"/>
    <n v="80"/>
    <n v="0"/>
    <n v="7"/>
    <n v="4"/>
    <n v="1"/>
    <n v="5"/>
    <n v="3"/>
    <n v="0"/>
    <n v="0"/>
  </r>
  <r>
    <x v="13"/>
    <x v="0"/>
    <x v="0"/>
    <n v="790"/>
    <x v="0"/>
    <n v="24"/>
    <n v="4"/>
    <x v="2"/>
    <x v="0"/>
    <x v="1058"/>
    <n v="1"/>
    <x v="0"/>
    <n v="40"/>
    <n v="2"/>
    <n v="2"/>
    <x v="0"/>
    <n v="2"/>
    <x v="0"/>
    <n v="4599"/>
    <n v="7815"/>
    <n v="0"/>
    <s v="Y"/>
    <x v="0"/>
    <n v="23"/>
    <n v="4"/>
    <n v="3"/>
    <n v="80"/>
    <n v="0"/>
    <n v="16"/>
    <n v="2"/>
    <n v="4"/>
    <n v="15"/>
    <n v="9"/>
    <n v="10"/>
    <n v="10"/>
  </r>
  <r>
    <x v="10"/>
    <x v="1"/>
    <x v="0"/>
    <n v="660"/>
    <x v="0"/>
    <n v="7"/>
    <n v="1"/>
    <x v="0"/>
    <x v="0"/>
    <x v="1059"/>
    <n v="4"/>
    <x v="1"/>
    <n v="76"/>
    <n v="3"/>
    <n v="1"/>
    <x v="6"/>
    <n v="3"/>
    <x v="1"/>
    <n v="2404"/>
    <n v="16192"/>
    <n v="1"/>
    <s v="Y"/>
    <x v="1"/>
    <n v="13"/>
    <n v="3"/>
    <n v="1"/>
    <n v="80"/>
    <n v="1"/>
    <n v="1"/>
    <n v="3"/>
    <n v="3"/>
    <n v="1"/>
    <n v="0"/>
    <n v="0"/>
    <n v="0"/>
  </r>
  <r>
    <x v="17"/>
    <x v="0"/>
    <x v="1"/>
    <n v="381"/>
    <x v="1"/>
    <n v="9"/>
    <n v="3"/>
    <x v="2"/>
    <x v="0"/>
    <x v="1060"/>
    <n v="2"/>
    <x v="1"/>
    <n v="89"/>
    <n v="3"/>
    <n v="1"/>
    <x v="2"/>
    <n v="1"/>
    <x v="0"/>
    <n v="3172"/>
    <n v="16998"/>
    <n v="2"/>
    <s v="Y"/>
    <x v="0"/>
    <n v="11"/>
    <n v="3"/>
    <n v="3"/>
    <n v="80"/>
    <n v="0"/>
    <n v="4"/>
    <n v="2"/>
    <n v="2"/>
    <n v="0"/>
    <n v="0"/>
    <n v="0"/>
    <n v="0"/>
  </r>
  <r>
    <x v="17"/>
    <x v="1"/>
    <x v="2"/>
    <n v="830"/>
    <x v="0"/>
    <n v="13"/>
    <n v="2"/>
    <x v="0"/>
    <x v="0"/>
    <x v="1061"/>
    <n v="4"/>
    <x v="0"/>
    <n v="78"/>
    <n v="3"/>
    <n v="1"/>
    <x v="6"/>
    <n v="2"/>
    <x v="1"/>
    <n v="2033"/>
    <n v="7103"/>
    <n v="1"/>
    <s v="Y"/>
    <x v="1"/>
    <n v="13"/>
    <n v="3"/>
    <n v="3"/>
    <n v="80"/>
    <n v="1"/>
    <n v="1"/>
    <n v="2"/>
    <n v="3"/>
    <n v="1"/>
    <n v="0"/>
    <n v="0"/>
    <n v="0"/>
  </r>
  <r>
    <x v="20"/>
    <x v="1"/>
    <x v="1"/>
    <n v="1193"/>
    <x v="1"/>
    <n v="2"/>
    <n v="1"/>
    <x v="2"/>
    <x v="0"/>
    <x v="1062"/>
    <n v="2"/>
    <x v="1"/>
    <n v="86"/>
    <n v="3"/>
    <n v="3"/>
    <x v="3"/>
    <n v="3"/>
    <x v="0"/>
    <n v="10209"/>
    <n v="19719"/>
    <n v="5"/>
    <s v="Y"/>
    <x v="0"/>
    <n v="18"/>
    <n v="3"/>
    <n v="2"/>
    <n v="80"/>
    <n v="0"/>
    <n v="16"/>
    <n v="2"/>
    <n v="2"/>
    <n v="2"/>
    <n v="2"/>
    <n v="2"/>
    <n v="2"/>
  </r>
  <r>
    <x v="11"/>
    <x v="1"/>
    <x v="0"/>
    <n v="1246"/>
    <x v="0"/>
    <n v="19"/>
    <n v="3"/>
    <x v="0"/>
    <x v="0"/>
    <x v="1063"/>
    <n v="3"/>
    <x v="1"/>
    <n v="77"/>
    <n v="2"/>
    <n v="2"/>
    <x v="0"/>
    <n v="3"/>
    <x v="2"/>
    <n v="8620"/>
    <n v="23757"/>
    <n v="1"/>
    <s v="Y"/>
    <x v="1"/>
    <n v="14"/>
    <n v="3"/>
    <n v="3"/>
    <n v="80"/>
    <n v="2"/>
    <n v="10"/>
    <n v="3"/>
    <n v="3"/>
    <n v="10"/>
    <n v="7"/>
    <n v="0"/>
    <n v="4"/>
  </r>
  <r>
    <x v="7"/>
    <x v="1"/>
    <x v="0"/>
    <n v="330"/>
    <x v="2"/>
    <n v="1"/>
    <n v="3"/>
    <x v="0"/>
    <x v="0"/>
    <x v="1064"/>
    <n v="3"/>
    <x v="1"/>
    <n v="46"/>
    <n v="3"/>
    <n v="1"/>
    <x v="8"/>
    <n v="3"/>
    <x v="2"/>
    <n v="2064"/>
    <n v="15428"/>
    <n v="0"/>
    <s v="Y"/>
    <x v="1"/>
    <n v="21"/>
    <n v="4"/>
    <n v="1"/>
    <n v="80"/>
    <n v="1"/>
    <n v="6"/>
    <n v="3"/>
    <n v="4"/>
    <n v="5"/>
    <n v="3"/>
    <n v="1"/>
    <n v="3"/>
  </r>
  <r>
    <x v="27"/>
    <x v="1"/>
    <x v="0"/>
    <n v="1229"/>
    <x v="1"/>
    <n v="4"/>
    <n v="4"/>
    <x v="0"/>
    <x v="0"/>
    <x v="1065"/>
    <n v="4"/>
    <x v="1"/>
    <n v="30"/>
    <n v="3"/>
    <n v="2"/>
    <x v="4"/>
    <n v="3"/>
    <x v="1"/>
    <n v="4035"/>
    <n v="16143"/>
    <n v="0"/>
    <s v="Y"/>
    <x v="0"/>
    <n v="16"/>
    <n v="3"/>
    <n v="2"/>
    <n v="80"/>
    <n v="0"/>
    <n v="4"/>
    <n v="2"/>
    <n v="3"/>
    <n v="3"/>
    <n v="2"/>
    <n v="1"/>
    <n v="2"/>
  </r>
  <r>
    <x v="3"/>
    <x v="1"/>
    <x v="0"/>
    <n v="1099"/>
    <x v="1"/>
    <n v="4"/>
    <n v="4"/>
    <x v="2"/>
    <x v="0"/>
    <x v="1066"/>
    <n v="1"/>
    <x v="0"/>
    <n v="82"/>
    <n v="2"/>
    <n v="1"/>
    <x v="2"/>
    <n v="2"/>
    <x v="1"/>
    <n v="3838"/>
    <n v="8192"/>
    <n v="8"/>
    <s v="Y"/>
    <x v="1"/>
    <n v="11"/>
    <n v="3"/>
    <n v="4"/>
    <n v="80"/>
    <n v="0"/>
    <n v="8"/>
    <n v="5"/>
    <n v="3"/>
    <n v="5"/>
    <n v="4"/>
    <n v="0"/>
    <n v="2"/>
  </r>
  <r>
    <x v="40"/>
    <x v="1"/>
    <x v="0"/>
    <n v="571"/>
    <x v="0"/>
    <n v="14"/>
    <n v="3"/>
    <x v="2"/>
    <x v="0"/>
    <x v="1067"/>
    <n v="3"/>
    <x v="0"/>
    <n v="78"/>
    <n v="3"/>
    <n v="2"/>
    <x v="0"/>
    <n v="3"/>
    <x v="1"/>
    <n v="4591"/>
    <n v="24200"/>
    <n v="3"/>
    <s v="Y"/>
    <x v="0"/>
    <n v="17"/>
    <n v="3"/>
    <n v="3"/>
    <n v="80"/>
    <n v="1"/>
    <n v="11"/>
    <n v="4"/>
    <n v="2"/>
    <n v="5"/>
    <n v="4"/>
    <n v="1"/>
    <n v="2"/>
  </r>
  <r>
    <x v="14"/>
    <x v="0"/>
    <x v="1"/>
    <n v="289"/>
    <x v="1"/>
    <n v="2"/>
    <n v="2"/>
    <x v="2"/>
    <x v="0"/>
    <x v="1068"/>
    <n v="3"/>
    <x v="1"/>
    <n v="38"/>
    <n v="2"/>
    <n v="1"/>
    <x v="2"/>
    <n v="1"/>
    <x v="0"/>
    <n v="2561"/>
    <n v="5355"/>
    <n v="7"/>
    <s v="Y"/>
    <x v="1"/>
    <n v="11"/>
    <n v="3"/>
    <n v="3"/>
    <n v="80"/>
    <n v="0"/>
    <n v="8"/>
    <n v="2"/>
    <n v="2"/>
    <n v="0"/>
    <n v="0"/>
    <n v="0"/>
    <n v="0"/>
  </r>
  <r>
    <x v="14"/>
    <x v="1"/>
    <x v="0"/>
    <n v="1423"/>
    <x v="1"/>
    <n v="1"/>
    <n v="3"/>
    <x v="0"/>
    <x v="0"/>
    <x v="1069"/>
    <n v="1"/>
    <x v="1"/>
    <n v="72"/>
    <n v="2"/>
    <n v="1"/>
    <x v="1"/>
    <n v="3"/>
    <x v="2"/>
    <n v="1563"/>
    <n v="12530"/>
    <n v="1"/>
    <s v="Y"/>
    <x v="1"/>
    <n v="14"/>
    <n v="3"/>
    <n v="4"/>
    <n v="80"/>
    <n v="1"/>
    <n v="1"/>
    <n v="2"/>
    <n v="1"/>
    <n v="1"/>
    <n v="0"/>
    <n v="0"/>
    <n v="0"/>
  </r>
  <r>
    <x v="14"/>
    <x v="1"/>
    <x v="1"/>
    <n v="467"/>
    <x v="0"/>
    <n v="7"/>
    <n v="3"/>
    <x v="0"/>
    <x v="0"/>
    <x v="1070"/>
    <n v="3"/>
    <x v="1"/>
    <n v="55"/>
    <n v="3"/>
    <n v="2"/>
    <x v="0"/>
    <n v="1"/>
    <x v="0"/>
    <n v="4898"/>
    <n v="11827"/>
    <n v="0"/>
    <s v="Y"/>
    <x v="1"/>
    <n v="14"/>
    <n v="3"/>
    <n v="4"/>
    <n v="80"/>
    <n v="0"/>
    <n v="5"/>
    <n v="5"/>
    <n v="3"/>
    <n v="4"/>
    <n v="2"/>
    <n v="1"/>
    <n v="3"/>
  </r>
  <r>
    <x v="1"/>
    <x v="1"/>
    <x v="0"/>
    <n v="271"/>
    <x v="1"/>
    <n v="3"/>
    <n v="2"/>
    <x v="2"/>
    <x v="0"/>
    <x v="1071"/>
    <n v="3"/>
    <x v="0"/>
    <n v="43"/>
    <n v="2"/>
    <n v="2"/>
    <x v="2"/>
    <n v="1"/>
    <x v="1"/>
    <n v="4789"/>
    <n v="23070"/>
    <n v="4"/>
    <s v="Y"/>
    <x v="1"/>
    <n v="25"/>
    <n v="4"/>
    <n v="1"/>
    <n v="80"/>
    <n v="1"/>
    <n v="10"/>
    <n v="3"/>
    <n v="3"/>
    <n v="3"/>
    <n v="2"/>
    <n v="1"/>
    <n v="2"/>
  </r>
  <r>
    <x v="11"/>
    <x v="1"/>
    <x v="1"/>
    <n v="410"/>
    <x v="1"/>
    <n v="2"/>
    <n v="1"/>
    <x v="0"/>
    <x v="0"/>
    <x v="1072"/>
    <n v="4"/>
    <x v="0"/>
    <n v="97"/>
    <n v="3"/>
    <n v="1"/>
    <x v="2"/>
    <n v="2"/>
    <x v="1"/>
    <n v="3180"/>
    <n v="4668"/>
    <n v="0"/>
    <s v="Y"/>
    <x v="1"/>
    <n v="13"/>
    <n v="3"/>
    <n v="3"/>
    <n v="80"/>
    <n v="3"/>
    <n v="4"/>
    <n v="3"/>
    <n v="3"/>
    <n v="3"/>
    <n v="2"/>
    <n v="0"/>
    <n v="2"/>
  </r>
  <r>
    <x v="14"/>
    <x v="1"/>
    <x v="0"/>
    <n v="1083"/>
    <x v="1"/>
    <n v="29"/>
    <n v="1"/>
    <x v="0"/>
    <x v="0"/>
    <x v="1073"/>
    <n v="3"/>
    <x v="1"/>
    <n v="96"/>
    <n v="1"/>
    <n v="2"/>
    <x v="3"/>
    <n v="2"/>
    <x v="1"/>
    <n v="6549"/>
    <n v="3173"/>
    <n v="1"/>
    <s v="Y"/>
    <x v="1"/>
    <n v="14"/>
    <n v="3"/>
    <n v="2"/>
    <n v="80"/>
    <n v="2"/>
    <n v="8"/>
    <n v="2"/>
    <n v="2"/>
    <n v="8"/>
    <n v="6"/>
    <n v="1"/>
    <n v="7"/>
  </r>
  <r>
    <x v="3"/>
    <x v="1"/>
    <x v="0"/>
    <n v="516"/>
    <x v="1"/>
    <n v="8"/>
    <n v="5"/>
    <x v="0"/>
    <x v="0"/>
    <x v="1074"/>
    <n v="4"/>
    <x v="1"/>
    <n v="69"/>
    <n v="3"/>
    <n v="2"/>
    <x v="4"/>
    <n v="3"/>
    <x v="0"/>
    <n v="6388"/>
    <n v="22049"/>
    <n v="2"/>
    <s v="Y"/>
    <x v="0"/>
    <n v="17"/>
    <n v="3"/>
    <n v="1"/>
    <n v="80"/>
    <n v="0"/>
    <n v="14"/>
    <n v="6"/>
    <n v="3"/>
    <n v="0"/>
    <n v="0"/>
    <n v="0"/>
    <n v="0"/>
  </r>
  <r>
    <x v="5"/>
    <x v="1"/>
    <x v="0"/>
    <n v="495"/>
    <x v="1"/>
    <n v="10"/>
    <n v="3"/>
    <x v="2"/>
    <x v="0"/>
    <x v="1075"/>
    <n v="3"/>
    <x v="1"/>
    <n v="64"/>
    <n v="3"/>
    <n v="3"/>
    <x v="5"/>
    <n v="4"/>
    <x v="0"/>
    <n v="11244"/>
    <n v="21072"/>
    <n v="2"/>
    <s v="Y"/>
    <x v="1"/>
    <n v="25"/>
    <n v="4"/>
    <n v="2"/>
    <n v="80"/>
    <n v="0"/>
    <n v="10"/>
    <n v="5"/>
    <n v="4"/>
    <n v="5"/>
    <n v="2"/>
    <n v="0"/>
    <n v="0"/>
  </r>
  <r>
    <x v="33"/>
    <x v="1"/>
    <x v="1"/>
    <n v="1050"/>
    <x v="1"/>
    <n v="11"/>
    <n v="4"/>
    <x v="2"/>
    <x v="0"/>
    <x v="1076"/>
    <n v="2"/>
    <x v="0"/>
    <n v="87"/>
    <n v="3"/>
    <n v="4"/>
    <x v="5"/>
    <n v="4"/>
    <x v="2"/>
    <n v="16032"/>
    <n v="24456"/>
    <n v="3"/>
    <s v="Y"/>
    <x v="1"/>
    <n v="20"/>
    <n v="4"/>
    <n v="1"/>
    <n v="80"/>
    <n v="1"/>
    <n v="26"/>
    <n v="2"/>
    <n v="3"/>
    <n v="14"/>
    <n v="9"/>
    <n v="1"/>
    <n v="12"/>
  </r>
  <r>
    <x v="11"/>
    <x v="0"/>
    <x v="0"/>
    <n v="224"/>
    <x v="1"/>
    <n v="1"/>
    <n v="4"/>
    <x v="4"/>
    <x v="0"/>
    <x v="1077"/>
    <n v="1"/>
    <x v="1"/>
    <n v="100"/>
    <n v="2"/>
    <n v="1"/>
    <x v="1"/>
    <n v="1"/>
    <x v="0"/>
    <n v="2362"/>
    <n v="7568"/>
    <n v="6"/>
    <s v="Y"/>
    <x v="1"/>
    <n v="13"/>
    <n v="3"/>
    <n v="3"/>
    <n v="80"/>
    <n v="0"/>
    <n v="11"/>
    <n v="2"/>
    <n v="1"/>
    <n v="9"/>
    <n v="7"/>
    <n v="0"/>
    <n v="7"/>
  </r>
  <r>
    <x v="20"/>
    <x v="1"/>
    <x v="0"/>
    <n v="136"/>
    <x v="1"/>
    <n v="28"/>
    <n v="3"/>
    <x v="0"/>
    <x v="0"/>
    <x v="1078"/>
    <n v="4"/>
    <x v="1"/>
    <n v="32"/>
    <n v="3"/>
    <n v="4"/>
    <x v="7"/>
    <n v="1"/>
    <x v="1"/>
    <n v="16328"/>
    <n v="22074"/>
    <n v="3"/>
    <s v="Y"/>
    <x v="1"/>
    <n v="13"/>
    <n v="3"/>
    <n v="3"/>
    <n v="80"/>
    <n v="1"/>
    <n v="24"/>
    <n v="1"/>
    <n v="4"/>
    <n v="20"/>
    <n v="6"/>
    <n v="14"/>
    <n v="17"/>
  </r>
  <r>
    <x v="22"/>
    <x v="1"/>
    <x v="0"/>
    <n v="1089"/>
    <x v="1"/>
    <n v="6"/>
    <n v="3"/>
    <x v="0"/>
    <x v="0"/>
    <x v="1079"/>
    <n v="2"/>
    <x v="0"/>
    <n v="32"/>
    <n v="3"/>
    <n v="3"/>
    <x v="3"/>
    <n v="2"/>
    <x v="0"/>
    <n v="8376"/>
    <n v="9150"/>
    <n v="4"/>
    <s v="Y"/>
    <x v="1"/>
    <n v="18"/>
    <n v="3"/>
    <n v="4"/>
    <n v="80"/>
    <n v="0"/>
    <n v="9"/>
    <n v="3"/>
    <n v="3"/>
    <n v="2"/>
    <n v="0"/>
    <n v="2"/>
    <n v="2"/>
  </r>
  <r>
    <x v="21"/>
    <x v="1"/>
    <x v="0"/>
    <n v="228"/>
    <x v="0"/>
    <n v="3"/>
    <n v="3"/>
    <x v="0"/>
    <x v="0"/>
    <x v="1080"/>
    <n v="3"/>
    <x v="0"/>
    <n v="51"/>
    <n v="3"/>
    <n v="4"/>
    <x v="5"/>
    <n v="2"/>
    <x v="1"/>
    <n v="16606"/>
    <n v="11380"/>
    <n v="8"/>
    <s v="Y"/>
    <x v="1"/>
    <n v="12"/>
    <n v="3"/>
    <n v="4"/>
    <n v="80"/>
    <n v="1"/>
    <n v="23"/>
    <n v="2"/>
    <n v="4"/>
    <n v="13"/>
    <n v="12"/>
    <n v="5"/>
    <n v="1"/>
  </r>
  <r>
    <x v="10"/>
    <x v="1"/>
    <x v="0"/>
    <n v="1029"/>
    <x v="1"/>
    <n v="16"/>
    <n v="3"/>
    <x v="0"/>
    <x v="0"/>
    <x v="1081"/>
    <n v="4"/>
    <x v="0"/>
    <n v="91"/>
    <n v="2"/>
    <n v="3"/>
    <x v="4"/>
    <n v="2"/>
    <x v="0"/>
    <n v="8606"/>
    <n v="21195"/>
    <n v="1"/>
    <s v="Y"/>
    <x v="1"/>
    <n v="19"/>
    <n v="3"/>
    <n v="4"/>
    <n v="80"/>
    <n v="0"/>
    <n v="11"/>
    <n v="3"/>
    <n v="1"/>
    <n v="11"/>
    <n v="8"/>
    <n v="3"/>
    <n v="3"/>
  </r>
  <r>
    <x v="30"/>
    <x v="1"/>
    <x v="0"/>
    <n v="507"/>
    <x v="1"/>
    <n v="20"/>
    <n v="1"/>
    <x v="0"/>
    <x v="0"/>
    <x v="1082"/>
    <n v="1"/>
    <x v="1"/>
    <n v="97"/>
    <n v="3"/>
    <n v="2"/>
    <x v="2"/>
    <n v="3"/>
    <x v="0"/>
    <n v="2272"/>
    <n v="24812"/>
    <n v="0"/>
    <s v="Y"/>
    <x v="1"/>
    <n v="14"/>
    <n v="3"/>
    <n v="2"/>
    <n v="80"/>
    <n v="0"/>
    <n v="5"/>
    <n v="2"/>
    <n v="3"/>
    <n v="4"/>
    <n v="3"/>
    <n v="1"/>
    <n v="2"/>
  </r>
  <r>
    <x v="32"/>
    <x v="0"/>
    <x v="0"/>
    <n v="676"/>
    <x v="1"/>
    <n v="9"/>
    <n v="4"/>
    <x v="0"/>
    <x v="0"/>
    <x v="1083"/>
    <n v="4"/>
    <x v="1"/>
    <n v="86"/>
    <n v="3"/>
    <n v="1"/>
    <x v="2"/>
    <n v="1"/>
    <x v="0"/>
    <n v="2018"/>
    <n v="21831"/>
    <n v="3"/>
    <s v="Y"/>
    <x v="1"/>
    <n v="14"/>
    <n v="3"/>
    <n v="2"/>
    <n v="80"/>
    <n v="0"/>
    <n v="15"/>
    <n v="3"/>
    <n v="1"/>
    <n v="5"/>
    <n v="4"/>
    <n v="1"/>
    <n v="0"/>
  </r>
  <r>
    <x v="13"/>
    <x v="1"/>
    <x v="0"/>
    <n v="971"/>
    <x v="0"/>
    <n v="1"/>
    <n v="3"/>
    <x v="4"/>
    <x v="0"/>
    <x v="1084"/>
    <n v="4"/>
    <x v="1"/>
    <n v="64"/>
    <n v="2"/>
    <n v="3"/>
    <x v="0"/>
    <n v="3"/>
    <x v="1"/>
    <n v="7083"/>
    <n v="12288"/>
    <n v="1"/>
    <s v="Y"/>
    <x v="0"/>
    <n v="14"/>
    <n v="3"/>
    <n v="4"/>
    <n v="80"/>
    <n v="0"/>
    <n v="10"/>
    <n v="3"/>
    <n v="3"/>
    <n v="10"/>
    <n v="9"/>
    <n v="8"/>
    <n v="6"/>
  </r>
  <r>
    <x v="12"/>
    <x v="0"/>
    <x v="1"/>
    <n v="561"/>
    <x v="1"/>
    <n v="3"/>
    <n v="3"/>
    <x v="0"/>
    <x v="0"/>
    <x v="1085"/>
    <n v="4"/>
    <x v="0"/>
    <n v="33"/>
    <n v="3"/>
    <n v="1"/>
    <x v="1"/>
    <n v="3"/>
    <x v="0"/>
    <n v="4084"/>
    <n v="4156"/>
    <n v="1"/>
    <s v="Y"/>
    <x v="1"/>
    <n v="12"/>
    <n v="3"/>
    <n v="1"/>
    <n v="80"/>
    <n v="0"/>
    <n v="7"/>
    <n v="2"/>
    <n v="1"/>
    <n v="7"/>
    <n v="2"/>
    <n v="7"/>
    <n v="7"/>
  </r>
  <r>
    <x v="24"/>
    <x v="1"/>
    <x v="1"/>
    <n v="333"/>
    <x v="1"/>
    <n v="22"/>
    <n v="5"/>
    <x v="2"/>
    <x v="0"/>
    <x v="1086"/>
    <n v="3"/>
    <x v="1"/>
    <n v="88"/>
    <n v="1"/>
    <n v="4"/>
    <x v="7"/>
    <n v="4"/>
    <x v="0"/>
    <n v="14411"/>
    <n v="24450"/>
    <n v="1"/>
    <s v="Y"/>
    <x v="0"/>
    <n v="13"/>
    <n v="3"/>
    <n v="4"/>
    <n v="80"/>
    <n v="0"/>
    <n v="32"/>
    <n v="2"/>
    <n v="3"/>
    <n v="32"/>
    <n v="6"/>
    <n v="13"/>
    <n v="9"/>
  </r>
  <r>
    <x v="13"/>
    <x v="1"/>
    <x v="0"/>
    <n v="1440"/>
    <x v="0"/>
    <n v="7"/>
    <n v="2"/>
    <x v="4"/>
    <x v="0"/>
    <x v="1087"/>
    <n v="2"/>
    <x v="1"/>
    <n v="55"/>
    <n v="3"/>
    <n v="1"/>
    <x v="6"/>
    <n v="3"/>
    <x v="1"/>
    <n v="2308"/>
    <n v="4944"/>
    <n v="0"/>
    <s v="Y"/>
    <x v="0"/>
    <n v="25"/>
    <n v="4"/>
    <n v="2"/>
    <n v="80"/>
    <n v="1"/>
    <n v="12"/>
    <n v="4"/>
    <n v="3"/>
    <n v="11"/>
    <n v="10"/>
    <n v="5"/>
    <n v="7"/>
  </r>
  <r>
    <x v="19"/>
    <x v="1"/>
    <x v="0"/>
    <n v="1210"/>
    <x v="1"/>
    <n v="2"/>
    <n v="3"/>
    <x v="2"/>
    <x v="0"/>
    <x v="1088"/>
    <n v="3"/>
    <x v="1"/>
    <n v="68"/>
    <n v="2"/>
    <n v="1"/>
    <x v="2"/>
    <n v="2"/>
    <x v="1"/>
    <n v="4841"/>
    <n v="24052"/>
    <n v="4"/>
    <s v="Y"/>
    <x v="1"/>
    <n v="14"/>
    <n v="3"/>
    <n v="2"/>
    <n v="80"/>
    <n v="1"/>
    <n v="4"/>
    <n v="3"/>
    <n v="3"/>
    <n v="1"/>
    <n v="0"/>
    <n v="0"/>
    <n v="0"/>
  </r>
  <r>
    <x v="2"/>
    <x v="1"/>
    <x v="0"/>
    <n v="674"/>
    <x v="1"/>
    <n v="13"/>
    <n v="3"/>
    <x v="2"/>
    <x v="0"/>
    <x v="1089"/>
    <n v="1"/>
    <x v="1"/>
    <n v="47"/>
    <n v="3"/>
    <n v="2"/>
    <x v="1"/>
    <n v="4"/>
    <x v="1"/>
    <n v="4285"/>
    <n v="3031"/>
    <n v="1"/>
    <s v="Y"/>
    <x v="1"/>
    <n v="17"/>
    <n v="3"/>
    <n v="1"/>
    <n v="80"/>
    <n v="0"/>
    <n v="10"/>
    <n v="2"/>
    <n v="3"/>
    <n v="10"/>
    <n v="8"/>
    <n v="3"/>
    <n v="7"/>
  </r>
  <r>
    <x v="11"/>
    <x v="1"/>
    <x v="0"/>
    <n v="441"/>
    <x v="1"/>
    <n v="8"/>
    <n v="1"/>
    <x v="1"/>
    <x v="0"/>
    <x v="1090"/>
    <n v="3"/>
    <x v="0"/>
    <n v="39"/>
    <n v="1"/>
    <n v="2"/>
    <x v="4"/>
    <n v="1"/>
    <x v="1"/>
    <n v="9715"/>
    <n v="7288"/>
    <n v="3"/>
    <s v="Y"/>
    <x v="1"/>
    <n v="13"/>
    <n v="3"/>
    <n v="3"/>
    <n v="80"/>
    <n v="1"/>
    <n v="9"/>
    <n v="3"/>
    <n v="3"/>
    <n v="7"/>
    <n v="7"/>
    <n v="0"/>
    <n v="7"/>
  </r>
  <r>
    <x v="3"/>
    <x v="1"/>
    <x v="0"/>
    <n v="575"/>
    <x v="1"/>
    <n v="25"/>
    <n v="3"/>
    <x v="0"/>
    <x v="0"/>
    <x v="1091"/>
    <n v="4"/>
    <x v="1"/>
    <n v="44"/>
    <n v="2"/>
    <n v="2"/>
    <x v="3"/>
    <n v="2"/>
    <x v="0"/>
    <n v="4320"/>
    <n v="24152"/>
    <n v="1"/>
    <s v="Y"/>
    <x v="1"/>
    <n v="13"/>
    <n v="3"/>
    <n v="4"/>
    <n v="80"/>
    <n v="0"/>
    <n v="5"/>
    <n v="2"/>
    <n v="3"/>
    <n v="5"/>
    <n v="3"/>
    <n v="0"/>
    <n v="2"/>
  </r>
  <r>
    <x v="28"/>
    <x v="1"/>
    <x v="0"/>
    <n v="950"/>
    <x v="1"/>
    <n v="28"/>
    <n v="3"/>
    <x v="4"/>
    <x v="0"/>
    <x v="1092"/>
    <n v="4"/>
    <x v="1"/>
    <n v="97"/>
    <n v="3"/>
    <n v="1"/>
    <x v="1"/>
    <n v="4"/>
    <x v="1"/>
    <n v="2132"/>
    <n v="4585"/>
    <n v="4"/>
    <s v="Y"/>
    <x v="1"/>
    <n v="20"/>
    <n v="4"/>
    <n v="4"/>
    <n v="80"/>
    <n v="1"/>
    <n v="8"/>
    <n v="3"/>
    <n v="3"/>
    <n v="5"/>
    <n v="4"/>
    <n v="0"/>
    <n v="3"/>
  </r>
  <r>
    <x v="19"/>
    <x v="1"/>
    <x v="1"/>
    <n v="288"/>
    <x v="1"/>
    <n v="2"/>
    <n v="3"/>
    <x v="0"/>
    <x v="0"/>
    <x v="1093"/>
    <n v="4"/>
    <x v="1"/>
    <n v="40"/>
    <n v="3"/>
    <n v="3"/>
    <x v="4"/>
    <n v="4"/>
    <x v="1"/>
    <n v="10124"/>
    <n v="18611"/>
    <n v="2"/>
    <s v="Y"/>
    <x v="0"/>
    <n v="14"/>
    <n v="3"/>
    <n v="3"/>
    <n v="80"/>
    <n v="1"/>
    <n v="24"/>
    <n v="3"/>
    <n v="1"/>
    <n v="20"/>
    <n v="8"/>
    <n v="13"/>
    <n v="9"/>
  </r>
  <r>
    <x v="32"/>
    <x v="1"/>
    <x v="0"/>
    <n v="1342"/>
    <x v="0"/>
    <n v="9"/>
    <n v="2"/>
    <x v="2"/>
    <x v="0"/>
    <x v="1094"/>
    <n v="1"/>
    <x v="1"/>
    <n v="47"/>
    <n v="3"/>
    <n v="2"/>
    <x v="0"/>
    <n v="1"/>
    <x v="1"/>
    <n v="5473"/>
    <n v="19345"/>
    <n v="0"/>
    <s v="Y"/>
    <x v="1"/>
    <n v="12"/>
    <n v="3"/>
    <n v="4"/>
    <n v="80"/>
    <n v="0"/>
    <n v="9"/>
    <n v="5"/>
    <n v="4"/>
    <n v="8"/>
    <n v="4"/>
    <n v="7"/>
    <n v="1"/>
  </r>
  <r>
    <x v="3"/>
    <x v="1"/>
    <x v="0"/>
    <n v="589"/>
    <x v="1"/>
    <n v="28"/>
    <n v="4"/>
    <x v="0"/>
    <x v="0"/>
    <x v="1095"/>
    <n v="2"/>
    <x v="1"/>
    <n v="79"/>
    <n v="3"/>
    <n v="2"/>
    <x v="2"/>
    <n v="3"/>
    <x v="1"/>
    <n v="5207"/>
    <n v="22949"/>
    <n v="1"/>
    <s v="Y"/>
    <x v="0"/>
    <n v="12"/>
    <n v="3"/>
    <n v="2"/>
    <n v="80"/>
    <n v="1"/>
    <n v="15"/>
    <n v="3"/>
    <n v="3"/>
    <n v="15"/>
    <n v="14"/>
    <n v="5"/>
    <n v="7"/>
  </r>
  <r>
    <x v="32"/>
    <x v="1"/>
    <x v="0"/>
    <n v="898"/>
    <x v="2"/>
    <n v="6"/>
    <n v="2"/>
    <x v="2"/>
    <x v="0"/>
    <x v="1096"/>
    <n v="3"/>
    <x v="1"/>
    <n v="38"/>
    <n v="3"/>
    <n v="4"/>
    <x v="5"/>
    <n v="4"/>
    <x v="0"/>
    <n v="16437"/>
    <n v="17381"/>
    <n v="1"/>
    <s v="Y"/>
    <x v="0"/>
    <n v="21"/>
    <n v="4"/>
    <n v="4"/>
    <n v="80"/>
    <n v="0"/>
    <n v="21"/>
    <n v="2"/>
    <n v="3"/>
    <n v="21"/>
    <n v="7"/>
    <n v="7"/>
    <n v="7"/>
  </r>
  <r>
    <x v="17"/>
    <x v="1"/>
    <x v="0"/>
    <n v="350"/>
    <x v="1"/>
    <n v="21"/>
    <n v="2"/>
    <x v="4"/>
    <x v="0"/>
    <x v="1097"/>
    <n v="3"/>
    <x v="1"/>
    <n v="57"/>
    <n v="2"/>
    <n v="1"/>
    <x v="2"/>
    <n v="1"/>
    <x v="2"/>
    <n v="2296"/>
    <n v="10036"/>
    <n v="0"/>
    <s v="Y"/>
    <x v="1"/>
    <n v="14"/>
    <n v="3"/>
    <n v="2"/>
    <n v="80"/>
    <n v="3"/>
    <n v="2"/>
    <n v="3"/>
    <n v="3"/>
    <n v="1"/>
    <n v="1"/>
    <n v="0"/>
    <n v="0"/>
  </r>
  <r>
    <x v="32"/>
    <x v="1"/>
    <x v="2"/>
    <n v="1142"/>
    <x v="1"/>
    <n v="8"/>
    <n v="2"/>
    <x v="0"/>
    <x v="0"/>
    <x v="1098"/>
    <n v="4"/>
    <x v="1"/>
    <n v="72"/>
    <n v="3"/>
    <n v="2"/>
    <x v="4"/>
    <n v="4"/>
    <x v="2"/>
    <n v="4069"/>
    <n v="8841"/>
    <n v="3"/>
    <s v="Y"/>
    <x v="0"/>
    <n v="18"/>
    <n v="3"/>
    <n v="3"/>
    <n v="80"/>
    <n v="0"/>
    <n v="8"/>
    <n v="2"/>
    <n v="3"/>
    <n v="2"/>
    <n v="2"/>
    <n v="2"/>
    <n v="2"/>
  </r>
  <r>
    <x v="28"/>
    <x v="1"/>
    <x v="0"/>
    <n v="538"/>
    <x v="1"/>
    <n v="1"/>
    <n v="4"/>
    <x v="4"/>
    <x v="0"/>
    <x v="1099"/>
    <n v="1"/>
    <x v="1"/>
    <n v="66"/>
    <n v="3"/>
    <n v="3"/>
    <x v="4"/>
    <n v="2"/>
    <x v="2"/>
    <n v="7441"/>
    <n v="20933"/>
    <n v="1"/>
    <s v="Y"/>
    <x v="1"/>
    <n v="12"/>
    <n v="3"/>
    <n v="1"/>
    <n v="80"/>
    <n v="3"/>
    <n v="10"/>
    <n v="4"/>
    <n v="3"/>
    <n v="10"/>
    <n v="8"/>
    <n v="7"/>
    <n v="7"/>
  </r>
  <r>
    <x v="10"/>
    <x v="1"/>
    <x v="0"/>
    <n v="1402"/>
    <x v="0"/>
    <n v="28"/>
    <n v="4"/>
    <x v="0"/>
    <x v="0"/>
    <x v="1100"/>
    <n v="2"/>
    <x v="0"/>
    <n v="98"/>
    <n v="2"/>
    <n v="1"/>
    <x v="6"/>
    <n v="3"/>
    <x v="1"/>
    <n v="2430"/>
    <n v="26204"/>
    <n v="0"/>
    <s v="Y"/>
    <x v="1"/>
    <n v="23"/>
    <n v="4"/>
    <n v="1"/>
    <n v="80"/>
    <n v="2"/>
    <n v="6"/>
    <n v="5"/>
    <n v="3"/>
    <n v="5"/>
    <n v="3"/>
    <n v="4"/>
    <n v="2"/>
  </r>
  <r>
    <x v="5"/>
    <x v="1"/>
    <x v="0"/>
    <n v="824"/>
    <x v="1"/>
    <n v="5"/>
    <n v="2"/>
    <x v="0"/>
    <x v="0"/>
    <x v="1101"/>
    <n v="4"/>
    <x v="0"/>
    <n v="67"/>
    <n v="2"/>
    <n v="2"/>
    <x v="1"/>
    <n v="2"/>
    <x v="1"/>
    <n v="5878"/>
    <n v="15624"/>
    <n v="3"/>
    <s v="Y"/>
    <x v="1"/>
    <n v="12"/>
    <n v="3"/>
    <n v="1"/>
    <n v="80"/>
    <n v="1"/>
    <n v="12"/>
    <n v="2"/>
    <n v="3"/>
    <n v="7"/>
    <n v="1"/>
    <n v="2"/>
    <n v="5"/>
  </r>
  <r>
    <x v="9"/>
    <x v="1"/>
    <x v="0"/>
    <n v="1157"/>
    <x v="0"/>
    <n v="2"/>
    <n v="4"/>
    <x v="0"/>
    <x v="0"/>
    <x v="1102"/>
    <n v="3"/>
    <x v="1"/>
    <n v="70"/>
    <n v="3"/>
    <n v="1"/>
    <x v="6"/>
    <n v="4"/>
    <x v="0"/>
    <n v="2644"/>
    <n v="17001"/>
    <n v="3"/>
    <s v="Y"/>
    <x v="0"/>
    <n v="21"/>
    <n v="4"/>
    <n v="4"/>
    <n v="80"/>
    <n v="0"/>
    <n v="7"/>
    <n v="3"/>
    <n v="2"/>
    <n v="3"/>
    <n v="2"/>
    <n v="1"/>
    <n v="2"/>
  </r>
  <r>
    <x v="26"/>
    <x v="1"/>
    <x v="0"/>
    <n v="492"/>
    <x v="0"/>
    <n v="16"/>
    <n v="4"/>
    <x v="0"/>
    <x v="0"/>
    <x v="1103"/>
    <n v="3"/>
    <x v="0"/>
    <n v="96"/>
    <n v="3"/>
    <n v="2"/>
    <x v="0"/>
    <n v="3"/>
    <x v="2"/>
    <n v="6439"/>
    <n v="13693"/>
    <n v="8"/>
    <s v="Y"/>
    <x v="1"/>
    <n v="14"/>
    <n v="3"/>
    <n v="3"/>
    <n v="80"/>
    <n v="1"/>
    <n v="18"/>
    <n v="2"/>
    <n v="3"/>
    <n v="8"/>
    <n v="7"/>
    <n v="7"/>
    <n v="7"/>
  </r>
  <r>
    <x v="11"/>
    <x v="1"/>
    <x v="0"/>
    <n v="598"/>
    <x v="1"/>
    <n v="9"/>
    <n v="3"/>
    <x v="0"/>
    <x v="0"/>
    <x v="1104"/>
    <n v="3"/>
    <x v="1"/>
    <n v="91"/>
    <n v="4"/>
    <n v="1"/>
    <x v="1"/>
    <n v="3"/>
    <x v="1"/>
    <n v="2451"/>
    <n v="22376"/>
    <n v="6"/>
    <s v="Y"/>
    <x v="1"/>
    <n v="18"/>
    <n v="3"/>
    <n v="1"/>
    <n v="80"/>
    <n v="2"/>
    <n v="5"/>
    <n v="2"/>
    <n v="2"/>
    <n v="1"/>
    <n v="0"/>
    <n v="0"/>
    <n v="0"/>
  </r>
  <r>
    <x v="3"/>
    <x v="1"/>
    <x v="0"/>
    <n v="1242"/>
    <x v="0"/>
    <n v="8"/>
    <n v="4"/>
    <x v="0"/>
    <x v="0"/>
    <x v="1105"/>
    <n v="1"/>
    <x v="1"/>
    <n v="46"/>
    <n v="3"/>
    <n v="2"/>
    <x v="0"/>
    <n v="1"/>
    <x v="1"/>
    <n v="6392"/>
    <n v="10589"/>
    <n v="2"/>
    <s v="Y"/>
    <x v="1"/>
    <n v="13"/>
    <n v="3"/>
    <n v="4"/>
    <n v="80"/>
    <n v="1"/>
    <n v="8"/>
    <n v="6"/>
    <n v="1"/>
    <n v="2"/>
    <n v="2"/>
    <n v="2"/>
    <n v="2"/>
  </r>
  <r>
    <x v="7"/>
    <x v="0"/>
    <x v="0"/>
    <n v="740"/>
    <x v="0"/>
    <n v="1"/>
    <n v="3"/>
    <x v="0"/>
    <x v="0"/>
    <x v="1106"/>
    <n v="2"/>
    <x v="1"/>
    <n v="64"/>
    <n v="2"/>
    <n v="2"/>
    <x v="0"/>
    <n v="1"/>
    <x v="1"/>
    <n v="9714"/>
    <n v="5323"/>
    <n v="1"/>
    <s v="Y"/>
    <x v="1"/>
    <n v="11"/>
    <n v="3"/>
    <n v="4"/>
    <n v="80"/>
    <n v="1"/>
    <n v="10"/>
    <n v="4"/>
    <n v="3"/>
    <n v="10"/>
    <n v="8"/>
    <n v="6"/>
    <n v="7"/>
  </r>
  <r>
    <x v="8"/>
    <x v="1"/>
    <x v="1"/>
    <n v="888"/>
    <x v="2"/>
    <n v="10"/>
    <n v="4"/>
    <x v="5"/>
    <x v="0"/>
    <x v="1107"/>
    <n v="3"/>
    <x v="1"/>
    <n v="71"/>
    <n v="3"/>
    <n v="2"/>
    <x v="8"/>
    <n v="3"/>
    <x v="1"/>
    <n v="6077"/>
    <n v="14814"/>
    <n v="3"/>
    <s v="Y"/>
    <x v="1"/>
    <n v="11"/>
    <n v="3"/>
    <n v="3"/>
    <n v="80"/>
    <n v="0"/>
    <n v="10"/>
    <n v="2"/>
    <n v="3"/>
    <n v="6"/>
    <n v="3"/>
    <n v="1"/>
    <n v="2"/>
  </r>
  <r>
    <x v="10"/>
    <x v="1"/>
    <x v="0"/>
    <n v="992"/>
    <x v="1"/>
    <n v="1"/>
    <n v="3"/>
    <x v="2"/>
    <x v="0"/>
    <x v="1108"/>
    <n v="4"/>
    <x v="1"/>
    <n v="68"/>
    <n v="2"/>
    <n v="1"/>
    <x v="2"/>
    <n v="1"/>
    <x v="0"/>
    <n v="2450"/>
    <n v="21731"/>
    <n v="1"/>
    <s v="Y"/>
    <x v="1"/>
    <n v="19"/>
    <n v="3"/>
    <n v="2"/>
    <n v="80"/>
    <n v="0"/>
    <n v="3"/>
    <n v="3"/>
    <n v="3"/>
    <n v="3"/>
    <n v="0"/>
    <n v="1"/>
    <n v="2"/>
  </r>
  <r>
    <x v="7"/>
    <x v="1"/>
    <x v="0"/>
    <n v="1288"/>
    <x v="0"/>
    <n v="29"/>
    <n v="4"/>
    <x v="4"/>
    <x v="0"/>
    <x v="1109"/>
    <n v="3"/>
    <x v="1"/>
    <n v="33"/>
    <n v="3"/>
    <n v="3"/>
    <x v="0"/>
    <n v="2"/>
    <x v="1"/>
    <n v="9250"/>
    <n v="17799"/>
    <n v="3"/>
    <s v="Y"/>
    <x v="1"/>
    <n v="12"/>
    <n v="3"/>
    <n v="2"/>
    <n v="80"/>
    <n v="1"/>
    <n v="9"/>
    <n v="3"/>
    <n v="3"/>
    <n v="4"/>
    <n v="2"/>
    <n v="1"/>
    <n v="3"/>
  </r>
  <r>
    <x v="10"/>
    <x v="0"/>
    <x v="0"/>
    <n v="104"/>
    <x v="1"/>
    <n v="2"/>
    <n v="3"/>
    <x v="0"/>
    <x v="0"/>
    <x v="1110"/>
    <n v="1"/>
    <x v="0"/>
    <n v="69"/>
    <n v="3"/>
    <n v="1"/>
    <x v="2"/>
    <n v="1"/>
    <x v="2"/>
    <n v="2074"/>
    <n v="26619"/>
    <n v="1"/>
    <s v="Y"/>
    <x v="0"/>
    <n v="12"/>
    <n v="3"/>
    <n v="4"/>
    <n v="80"/>
    <n v="1"/>
    <n v="1"/>
    <n v="2"/>
    <n v="3"/>
    <n v="1"/>
    <n v="0"/>
    <n v="0"/>
    <n v="0"/>
  </r>
  <r>
    <x v="16"/>
    <x v="0"/>
    <x v="0"/>
    <n v="607"/>
    <x v="1"/>
    <n v="2"/>
    <n v="5"/>
    <x v="4"/>
    <x v="0"/>
    <x v="1111"/>
    <n v="3"/>
    <x v="0"/>
    <n v="78"/>
    <n v="2"/>
    <n v="3"/>
    <x v="3"/>
    <n v="4"/>
    <x v="1"/>
    <n v="10169"/>
    <n v="14618"/>
    <n v="0"/>
    <s v="Y"/>
    <x v="1"/>
    <n v="16"/>
    <n v="3"/>
    <n v="2"/>
    <n v="80"/>
    <n v="1"/>
    <n v="34"/>
    <n v="4"/>
    <n v="3"/>
    <n v="33"/>
    <n v="7"/>
    <n v="1"/>
    <n v="9"/>
  </r>
  <r>
    <x v="8"/>
    <x v="0"/>
    <x v="0"/>
    <n v="903"/>
    <x v="1"/>
    <n v="2"/>
    <n v="3"/>
    <x v="2"/>
    <x v="0"/>
    <x v="1112"/>
    <n v="3"/>
    <x v="1"/>
    <n v="81"/>
    <n v="3"/>
    <n v="2"/>
    <x v="3"/>
    <n v="2"/>
    <x v="1"/>
    <n v="4855"/>
    <n v="7653"/>
    <n v="4"/>
    <s v="Y"/>
    <x v="1"/>
    <n v="11"/>
    <n v="3"/>
    <n v="1"/>
    <n v="80"/>
    <n v="2"/>
    <n v="7"/>
    <n v="2"/>
    <n v="3"/>
    <n v="5"/>
    <n v="2"/>
    <n v="1"/>
    <n v="4"/>
  </r>
  <r>
    <x v="5"/>
    <x v="1"/>
    <x v="2"/>
    <n v="1200"/>
    <x v="1"/>
    <n v="1"/>
    <n v="4"/>
    <x v="4"/>
    <x v="0"/>
    <x v="1113"/>
    <n v="4"/>
    <x v="1"/>
    <n v="62"/>
    <n v="3"/>
    <n v="2"/>
    <x v="1"/>
    <n v="1"/>
    <x v="1"/>
    <n v="4087"/>
    <n v="25174"/>
    <n v="4"/>
    <s v="Y"/>
    <x v="1"/>
    <n v="14"/>
    <n v="3"/>
    <n v="2"/>
    <n v="80"/>
    <n v="1"/>
    <n v="9"/>
    <n v="3"/>
    <n v="2"/>
    <n v="6"/>
    <n v="5"/>
    <n v="1"/>
    <n v="2"/>
  </r>
  <r>
    <x v="26"/>
    <x v="1"/>
    <x v="0"/>
    <n v="1108"/>
    <x v="1"/>
    <n v="15"/>
    <n v="4"/>
    <x v="1"/>
    <x v="0"/>
    <x v="1114"/>
    <n v="3"/>
    <x v="0"/>
    <n v="65"/>
    <n v="3"/>
    <n v="1"/>
    <x v="1"/>
    <n v="1"/>
    <x v="1"/>
    <n v="2367"/>
    <n v="16530"/>
    <n v="8"/>
    <s v="Y"/>
    <x v="1"/>
    <n v="12"/>
    <n v="3"/>
    <n v="4"/>
    <n v="80"/>
    <n v="1"/>
    <n v="10"/>
    <n v="3"/>
    <n v="2"/>
    <n v="8"/>
    <n v="2"/>
    <n v="7"/>
    <n v="6"/>
  </r>
  <r>
    <x v="13"/>
    <x v="1"/>
    <x v="0"/>
    <n v="479"/>
    <x v="1"/>
    <n v="7"/>
    <n v="4"/>
    <x v="2"/>
    <x v="0"/>
    <x v="1115"/>
    <n v="1"/>
    <x v="1"/>
    <n v="35"/>
    <n v="3"/>
    <n v="1"/>
    <x v="1"/>
    <n v="4"/>
    <x v="0"/>
    <n v="2972"/>
    <n v="22061"/>
    <n v="1"/>
    <s v="Y"/>
    <x v="1"/>
    <n v="13"/>
    <n v="3"/>
    <n v="3"/>
    <n v="80"/>
    <n v="0"/>
    <n v="1"/>
    <n v="4"/>
    <n v="1"/>
    <n v="1"/>
    <n v="0"/>
    <n v="0"/>
    <n v="0"/>
  </r>
  <r>
    <x v="27"/>
    <x v="1"/>
    <x v="0"/>
    <n v="685"/>
    <x v="0"/>
    <n v="26"/>
    <n v="5"/>
    <x v="3"/>
    <x v="0"/>
    <x v="1116"/>
    <n v="3"/>
    <x v="1"/>
    <n v="60"/>
    <n v="2"/>
    <n v="5"/>
    <x v="5"/>
    <n v="4"/>
    <x v="1"/>
    <n v="19586"/>
    <n v="23037"/>
    <n v="1"/>
    <s v="Y"/>
    <x v="1"/>
    <n v="21"/>
    <n v="4"/>
    <n v="3"/>
    <n v="80"/>
    <n v="1"/>
    <n v="36"/>
    <n v="3"/>
    <n v="3"/>
    <n v="36"/>
    <n v="6"/>
    <n v="2"/>
    <n v="13"/>
  </r>
  <r>
    <x v="13"/>
    <x v="1"/>
    <x v="0"/>
    <n v="1351"/>
    <x v="1"/>
    <n v="1"/>
    <n v="4"/>
    <x v="0"/>
    <x v="0"/>
    <x v="1117"/>
    <n v="2"/>
    <x v="1"/>
    <n v="45"/>
    <n v="3"/>
    <n v="2"/>
    <x v="1"/>
    <n v="4"/>
    <x v="1"/>
    <n v="5484"/>
    <n v="13008"/>
    <n v="9"/>
    <s v="Y"/>
    <x v="1"/>
    <n v="17"/>
    <n v="3"/>
    <n v="2"/>
    <n v="80"/>
    <n v="1"/>
    <n v="9"/>
    <n v="3"/>
    <n v="2"/>
    <n v="2"/>
    <n v="2"/>
    <n v="2"/>
    <n v="1"/>
  </r>
  <r>
    <x v="25"/>
    <x v="1"/>
    <x v="0"/>
    <n v="474"/>
    <x v="1"/>
    <n v="3"/>
    <n v="3"/>
    <x v="0"/>
    <x v="0"/>
    <x v="1118"/>
    <n v="1"/>
    <x v="0"/>
    <n v="89"/>
    <n v="3"/>
    <n v="1"/>
    <x v="1"/>
    <n v="4"/>
    <x v="1"/>
    <n v="2061"/>
    <n v="11133"/>
    <n v="1"/>
    <s v="Y"/>
    <x v="1"/>
    <n v="21"/>
    <n v="4"/>
    <n v="1"/>
    <n v="80"/>
    <n v="0"/>
    <n v="1"/>
    <n v="5"/>
    <n v="3"/>
    <n v="1"/>
    <n v="0"/>
    <n v="0"/>
    <n v="0"/>
  </r>
  <r>
    <x v="8"/>
    <x v="1"/>
    <x v="0"/>
    <n v="1245"/>
    <x v="0"/>
    <n v="14"/>
    <n v="3"/>
    <x v="0"/>
    <x v="0"/>
    <x v="1119"/>
    <n v="3"/>
    <x v="1"/>
    <n v="80"/>
    <n v="3"/>
    <n v="2"/>
    <x v="0"/>
    <n v="2"/>
    <x v="1"/>
    <n v="9924"/>
    <n v="12355"/>
    <n v="0"/>
    <s v="Y"/>
    <x v="1"/>
    <n v="11"/>
    <n v="3"/>
    <n v="4"/>
    <n v="80"/>
    <n v="1"/>
    <n v="10"/>
    <n v="3"/>
    <n v="3"/>
    <n v="9"/>
    <n v="8"/>
    <n v="7"/>
    <n v="7"/>
  </r>
  <r>
    <x v="8"/>
    <x v="1"/>
    <x v="0"/>
    <n v="437"/>
    <x v="0"/>
    <n v="16"/>
    <n v="3"/>
    <x v="0"/>
    <x v="0"/>
    <x v="1120"/>
    <n v="2"/>
    <x v="0"/>
    <n v="90"/>
    <n v="3"/>
    <n v="2"/>
    <x v="0"/>
    <n v="2"/>
    <x v="0"/>
    <n v="4198"/>
    <n v="16379"/>
    <n v="2"/>
    <s v="Y"/>
    <x v="1"/>
    <n v="12"/>
    <n v="3"/>
    <n v="2"/>
    <n v="80"/>
    <n v="0"/>
    <n v="8"/>
    <n v="5"/>
    <n v="4"/>
    <n v="3"/>
    <n v="2"/>
    <n v="1"/>
    <n v="2"/>
  </r>
  <r>
    <x v="9"/>
    <x v="1"/>
    <x v="0"/>
    <n v="884"/>
    <x v="0"/>
    <n v="1"/>
    <n v="4"/>
    <x v="0"/>
    <x v="0"/>
    <x v="1121"/>
    <n v="2"/>
    <x v="0"/>
    <n v="73"/>
    <n v="3"/>
    <n v="2"/>
    <x v="0"/>
    <n v="3"/>
    <x v="0"/>
    <n v="6815"/>
    <n v="21447"/>
    <n v="6"/>
    <s v="Y"/>
    <x v="1"/>
    <n v="13"/>
    <n v="3"/>
    <n v="1"/>
    <n v="80"/>
    <n v="0"/>
    <n v="15"/>
    <n v="5"/>
    <n v="3"/>
    <n v="1"/>
    <n v="0"/>
    <n v="0"/>
    <n v="0"/>
  </r>
  <r>
    <x v="11"/>
    <x v="1"/>
    <x v="0"/>
    <n v="1370"/>
    <x v="1"/>
    <n v="3"/>
    <n v="1"/>
    <x v="2"/>
    <x v="0"/>
    <x v="1122"/>
    <n v="2"/>
    <x v="1"/>
    <n v="87"/>
    <n v="3"/>
    <n v="1"/>
    <x v="2"/>
    <n v="1"/>
    <x v="0"/>
    <n v="4723"/>
    <n v="16213"/>
    <n v="1"/>
    <s v="Y"/>
    <x v="0"/>
    <n v="18"/>
    <n v="3"/>
    <n v="4"/>
    <n v="80"/>
    <n v="0"/>
    <n v="10"/>
    <n v="3"/>
    <n v="3"/>
    <n v="10"/>
    <n v="9"/>
    <n v="1"/>
    <n v="5"/>
  </r>
  <r>
    <x v="10"/>
    <x v="1"/>
    <x v="0"/>
    <n v="670"/>
    <x v="1"/>
    <n v="10"/>
    <n v="4"/>
    <x v="2"/>
    <x v="0"/>
    <x v="1123"/>
    <n v="1"/>
    <x v="0"/>
    <n v="51"/>
    <n v="3"/>
    <n v="2"/>
    <x v="4"/>
    <n v="3"/>
    <x v="0"/>
    <n v="6142"/>
    <n v="4223"/>
    <n v="3"/>
    <s v="Y"/>
    <x v="0"/>
    <n v="16"/>
    <n v="3"/>
    <n v="3"/>
    <n v="80"/>
    <n v="0"/>
    <n v="10"/>
    <n v="4"/>
    <n v="3"/>
    <n v="5"/>
    <n v="2"/>
    <n v="0"/>
    <n v="4"/>
  </r>
  <r>
    <x v="22"/>
    <x v="1"/>
    <x v="0"/>
    <n v="1462"/>
    <x v="0"/>
    <n v="6"/>
    <n v="3"/>
    <x v="2"/>
    <x v="0"/>
    <x v="1124"/>
    <n v="4"/>
    <x v="1"/>
    <n v="38"/>
    <n v="4"/>
    <n v="3"/>
    <x v="0"/>
    <n v="3"/>
    <x v="1"/>
    <n v="8237"/>
    <n v="4658"/>
    <n v="2"/>
    <s v="Y"/>
    <x v="1"/>
    <n v="11"/>
    <n v="3"/>
    <n v="1"/>
    <n v="80"/>
    <n v="1"/>
    <n v="11"/>
    <n v="3"/>
    <n v="3"/>
    <n v="7"/>
    <n v="6"/>
    <n v="7"/>
    <n v="6"/>
  </r>
  <r>
    <x v="11"/>
    <x v="1"/>
    <x v="1"/>
    <n v="995"/>
    <x v="1"/>
    <n v="2"/>
    <n v="1"/>
    <x v="0"/>
    <x v="0"/>
    <x v="1125"/>
    <n v="1"/>
    <x v="1"/>
    <n v="87"/>
    <n v="3"/>
    <n v="2"/>
    <x v="4"/>
    <n v="4"/>
    <x v="2"/>
    <n v="8853"/>
    <n v="24483"/>
    <n v="1"/>
    <s v="Y"/>
    <x v="1"/>
    <n v="19"/>
    <n v="3"/>
    <n v="4"/>
    <n v="80"/>
    <n v="1"/>
    <n v="6"/>
    <n v="0"/>
    <n v="4"/>
    <n v="6"/>
    <n v="4"/>
    <n v="1"/>
    <n v="3"/>
  </r>
  <r>
    <x v="24"/>
    <x v="1"/>
    <x v="0"/>
    <n v="264"/>
    <x v="0"/>
    <n v="9"/>
    <n v="3"/>
    <x v="3"/>
    <x v="0"/>
    <x v="1126"/>
    <n v="3"/>
    <x v="1"/>
    <n v="59"/>
    <n v="3"/>
    <n v="5"/>
    <x v="5"/>
    <n v="3"/>
    <x v="1"/>
    <n v="19331"/>
    <n v="19519"/>
    <n v="4"/>
    <s v="Y"/>
    <x v="0"/>
    <n v="16"/>
    <n v="3"/>
    <n v="3"/>
    <n v="80"/>
    <n v="1"/>
    <n v="27"/>
    <n v="2"/>
    <n v="3"/>
    <n v="1"/>
    <n v="0"/>
    <n v="0"/>
    <n v="0"/>
  </r>
  <r>
    <x v="30"/>
    <x v="1"/>
    <x v="0"/>
    <n v="977"/>
    <x v="1"/>
    <n v="10"/>
    <n v="3"/>
    <x v="4"/>
    <x v="0"/>
    <x v="1127"/>
    <n v="4"/>
    <x v="1"/>
    <n v="45"/>
    <n v="4"/>
    <n v="1"/>
    <x v="1"/>
    <n v="3"/>
    <x v="1"/>
    <n v="2073"/>
    <n v="12826"/>
    <n v="2"/>
    <s v="Y"/>
    <x v="1"/>
    <n v="16"/>
    <n v="3"/>
    <n v="4"/>
    <n v="80"/>
    <n v="1"/>
    <n v="4"/>
    <n v="2"/>
    <n v="3"/>
    <n v="2"/>
    <n v="2"/>
    <n v="2"/>
    <n v="2"/>
  </r>
  <r>
    <x v="9"/>
    <x v="1"/>
    <x v="1"/>
    <n v="1302"/>
    <x v="1"/>
    <n v="6"/>
    <n v="4"/>
    <x v="0"/>
    <x v="0"/>
    <x v="1128"/>
    <n v="1"/>
    <x v="1"/>
    <n v="80"/>
    <n v="4"/>
    <n v="2"/>
    <x v="2"/>
    <n v="1"/>
    <x v="1"/>
    <n v="5562"/>
    <n v="19711"/>
    <n v="3"/>
    <s v="Y"/>
    <x v="0"/>
    <n v="13"/>
    <n v="3"/>
    <n v="4"/>
    <n v="80"/>
    <n v="1"/>
    <n v="9"/>
    <n v="3"/>
    <n v="3"/>
    <n v="3"/>
    <n v="2"/>
    <n v="0"/>
    <n v="2"/>
  </r>
  <r>
    <x v="19"/>
    <x v="1"/>
    <x v="0"/>
    <n v="1059"/>
    <x v="1"/>
    <n v="9"/>
    <n v="2"/>
    <x v="1"/>
    <x v="0"/>
    <x v="1129"/>
    <n v="4"/>
    <x v="1"/>
    <n v="93"/>
    <n v="2"/>
    <n v="5"/>
    <x v="5"/>
    <n v="4"/>
    <x v="0"/>
    <n v="19613"/>
    <n v="26362"/>
    <n v="8"/>
    <s v="Y"/>
    <x v="1"/>
    <n v="22"/>
    <n v="4"/>
    <n v="4"/>
    <n v="80"/>
    <n v="0"/>
    <n v="24"/>
    <n v="2"/>
    <n v="3"/>
    <n v="1"/>
    <n v="0"/>
    <n v="0"/>
    <n v="1"/>
  </r>
  <r>
    <x v="10"/>
    <x v="1"/>
    <x v="0"/>
    <n v="750"/>
    <x v="1"/>
    <n v="28"/>
    <n v="3"/>
    <x v="0"/>
    <x v="0"/>
    <x v="1130"/>
    <n v="2"/>
    <x v="1"/>
    <n v="46"/>
    <n v="4"/>
    <n v="2"/>
    <x v="2"/>
    <n v="3"/>
    <x v="1"/>
    <n v="3407"/>
    <n v="25348"/>
    <n v="1"/>
    <s v="Y"/>
    <x v="1"/>
    <n v="17"/>
    <n v="3"/>
    <n v="4"/>
    <n v="80"/>
    <n v="2"/>
    <n v="10"/>
    <n v="3"/>
    <n v="2"/>
    <n v="10"/>
    <n v="9"/>
    <n v="6"/>
    <n v="8"/>
  </r>
  <r>
    <x v="13"/>
    <x v="1"/>
    <x v="1"/>
    <n v="653"/>
    <x v="1"/>
    <n v="10"/>
    <n v="4"/>
    <x v="4"/>
    <x v="0"/>
    <x v="1131"/>
    <n v="4"/>
    <x v="1"/>
    <n v="92"/>
    <n v="2"/>
    <n v="2"/>
    <x v="4"/>
    <n v="3"/>
    <x v="1"/>
    <n v="5063"/>
    <n v="15332"/>
    <n v="1"/>
    <s v="Y"/>
    <x v="1"/>
    <n v="14"/>
    <n v="3"/>
    <n v="2"/>
    <n v="80"/>
    <n v="1"/>
    <n v="8"/>
    <n v="3"/>
    <n v="2"/>
    <n v="8"/>
    <n v="2"/>
    <n v="7"/>
    <n v="7"/>
  </r>
  <r>
    <x v="32"/>
    <x v="1"/>
    <x v="0"/>
    <n v="118"/>
    <x v="0"/>
    <n v="14"/>
    <n v="2"/>
    <x v="0"/>
    <x v="0"/>
    <x v="1132"/>
    <n v="4"/>
    <x v="0"/>
    <n v="84"/>
    <n v="3"/>
    <n v="2"/>
    <x v="0"/>
    <n v="1"/>
    <x v="1"/>
    <n v="4639"/>
    <n v="11262"/>
    <n v="1"/>
    <s v="Y"/>
    <x v="1"/>
    <n v="15"/>
    <n v="3"/>
    <n v="3"/>
    <n v="80"/>
    <n v="1"/>
    <n v="5"/>
    <n v="2"/>
    <n v="3"/>
    <n v="5"/>
    <n v="4"/>
    <n v="1"/>
    <n v="2"/>
  </r>
  <r>
    <x v="23"/>
    <x v="1"/>
    <x v="0"/>
    <n v="990"/>
    <x v="1"/>
    <n v="27"/>
    <n v="3"/>
    <x v="4"/>
    <x v="0"/>
    <x v="1133"/>
    <n v="4"/>
    <x v="1"/>
    <n v="87"/>
    <n v="4"/>
    <n v="1"/>
    <x v="2"/>
    <n v="2"/>
    <x v="2"/>
    <n v="4876"/>
    <n v="5855"/>
    <n v="5"/>
    <s v="Y"/>
    <x v="1"/>
    <n v="12"/>
    <n v="3"/>
    <n v="3"/>
    <n v="80"/>
    <n v="1"/>
    <n v="8"/>
    <n v="0"/>
    <n v="3"/>
    <n v="6"/>
    <n v="4"/>
    <n v="0"/>
    <n v="2"/>
  </r>
  <r>
    <x v="10"/>
    <x v="1"/>
    <x v="0"/>
    <n v="1349"/>
    <x v="1"/>
    <n v="7"/>
    <n v="2"/>
    <x v="0"/>
    <x v="0"/>
    <x v="1134"/>
    <n v="3"/>
    <x v="1"/>
    <n v="63"/>
    <n v="2"/>
    <n v="1"/>
    <x v="2"/>
    <n v="4"/>
    <x v="1"/>
    <n v="2690"/>
    <n v="7713"/>
    <n v="1"/>
    <s v="Y"/>
    <x v="1"/>
    <n v="18"/>
    <n v="3"/>
    <n v="4"/>
    <n v="80"/>
    <n v="1"/>
    <n v="1"/>
    <n v="5"/>
    <n v="2"/>
    <n v="1"/>
    <n v="0"/>
    <n v="0"/>
    <n v="1"/>
  </r>
  <r>
    <x v="21"/>
    <x v="1"/>
    <x v="0"/>
    <n v="563"/>
    <x v="0"/>
    <n v="1"/>
    <n v="4"/>
    <x v="0"/>
    <x v="0"/>
    <x v="1135"/>
    <n v="4"/>
    <x v="1"/>
    <n v="56"/>
    <n v="4"/>
    <n v="4"/>
    <x v="5"/>
    <n v="1"/>
    <x v="0"/>
    <n v="17567"/>
    <n v="3156"/>
    <n v="1"/>
    <s v="Y"/>
    <x v="1"/>
    <n v="15"/>
    <n v="3"/>
    <n v="2"/>
    <n v="80"/>
    <n v="0"/>
    <n v="27"/>
    <n v="5"/>
    <n v="1"/>
    <n v="26"/>
    <n v="0"/>
    <n v="0"/>
    <n v="12"/>
  </r>
  <r>
    <x v="14"/>
    <x v="0"/>
    <x v="0"/>
    <n v="329"/>
    <x v="1"/>
    <n v="24"/>
    <n v="3"/>
    <x v="2"/>
    <x v="0"/>
    <x v="1136"/>
    <n v="3"/>
    <x v="1"/>
    <n v="51"/>
    <n v="3"/>
    <n v="1"/>
    <x v="2"/>
    <n v="2"/>
    <x v="1"/>
    <n v="2408"/>
    <n v="7324"/>
    <n v="1"/>
    <s v="Y"/>
    <x v="0"/>
    <n v="17"/>
    <n v="3"/>
    <n v="3"/>
    <n v="80"/>
    <n v="3"/>
    <n v="1"/>
    <n v="3"/>
    <n v="3"/>
    <n v="1"/>
    <n v="1"/>
    <n v="0"/>
    <n v="0"/>
  </r>
  <r>
    <x v="15"/>
    <x v="1"/>
    <x v="2"/>
    <n v="457"/>
    <x v="1"/>
    <n v="26"/>
    <n v="2"/>
    <x v="1"/>
    <x v="0"/>
    <x v="1137"/>
    <n v="2"/>
    <x v="0"/>
    <n v="85"/>
    <n v="2"/>
    <n v="1"/>
    <x v="1"/>
    <n v="3"/>
    <x v="1"/>
    <n v="2814"/>
    <n v="10293"/>
    <n v="1"/>
    <s v="Y"/>
    <x v="0"/>
    <n v="14"/>
    <n v="3"/>
    <n v="2"/>
    <n v="80"/>
    <n v="0"/>
    <n v="4"/>
    <n v="2"/>
    <n v="2"/>
    <n v="4"/>
    <n v="2"/>
    <n v="1"/>
    <n v="3"/>
  </r>
  <r>
    <x v="24"/>
    <x v="1"/>
    <x v="1"/>
    <n v="1234"/>
    <x v="1"/>
    <n v="20"/>
    <n v="5"/>
    <x v="2"/>
    <x v="0"/>
    <x v="1138"/>
    <n v="2"/>
    <x v="1"/>
    <n v="41"/>
    <n v="3"/>
    <n v="4"/>
    <x v="4"/>
    <n v="3"/>
    <x v="1"/>
    <n v="11245"/>
    <n v="20689"/>
    <n v="2"/>
    <s v="Y"/>
    <x v="0"/>
    <n v="15"/>
    <n v="3"/>
    <n v="3"/>
    <n v="80"/>
    <n v="1"/>
    <n v="32"/>
    <n v="3"/>
    <n v="3"/>
    <n v="30"/>
    <n v="8"/>
    <n v="12"/>
    <n v="13"/>
  </r>
  <r>
    <x v="5"/>
    <x v="1"/>
    <x v="0"/>
    <n v="634"/>
    <x v="1"/>
    <n v="5"/>
    <n v="4"/>
    <x v="1"/>
    <x v="0"/>
    <x v="1139"/>
    <n v="2"/>
    <x v="0"/>
    <n v="35"/>
    <n v="4"/>
    <n v="1"/>
    <x v="1"/>
    <n v="4"/>
    <x v="1"/>
    <n v="3312"/>
    <n v="18783"/>
    <n v="3"/>
    <s v="Y"/>
    <x v="1"/>
    <n v="17"/>
    <n v="3"/>
    <n v="4"/>
    <n v="80"/>
    <n v="2"/>
    <n v="6"/>
    <n v="3"/>
    <n v="3"/>
    <n v="3"/>
    <n v="2"/>
    <n v="0"/>
    <n v="2"/>
  </r>
  <r>
    <x v="20"/>
    <x v="1"/>
    <x v="0"/>
    <n v="1313"/>
    <x v="1"/>
    <n v="7"/>
    <n v="3"/>
    <x v="2"/>
    <x v="0"/>
    <x v="1140"/>
    <n v="2"/>
    <x v="0"/>
    <n v="31"/>
    <n v="3"/>
    <n v="5"/>
    <x v="7"/>
    <n v="4"/>
    <x v="2"/>
    <n v="19049"/>
    <n v="3549"/>
    <n v="0"/>
    <s v="Y"/>
    <x v="0"/>
    <n v="14"/>
    <n v="3"/>
    <n v="4"/>
    <n v="80"/>
    <n v="1"/>
    <n v="23"/>
    <n v="4"/>
    <n v="2"/>
    <n v="22"/>
    <n v="7"/>
    <n v="1"/>
    <n v="10"/>
  </r>
  <r>
    <x v="7"/>
    <x v="1"/>
    <x v="0"/>
    <n v="241"/>
    <x v="1"/>
    <n v="7"/>
    <n v="3"/>
    <x v="2"/>
    <x v="0"/>
    <x v="1141"/>
    <n v="2"/>
    <x v="1"/>
    <n v="48"/>
    <n v="2"/>
    <n v="1"/>
    <x v="1"/>
    <n v="2"/>
    <x v="1"/>
    <n v="2141"/>
    <n v="5348"/>
    <n v="1"/>
    <s v="Y"/>
    <x v="1"/>
    <n v="12"/>
    <n v="3"/>
    <n v="2"/>
    <n v="80"/>
    <n v="1"/>
    <n v="6"/>
    <n v="3"/>
    <n v="2"/>
    <n v="6"/>
    <n v="4"/>
    <n v="1"/>
    <n v="1"/>
  </r>
  <r>
    <x v="28"/>
    <x v="1"/>
    <x v="0"/>
    <n v="1015"/>
    <x v="1"/>
    <n v="5"/>
    <n v="5"/>
    <x v="2"/>
    <x v="0"/>
    <x v="1142"/>
    <n v="3"/>
    <x v="0"/>
    <n v="50"/>
    <n v="1"/>
    <n v="2"/>
    <x v="2"/>
    <n v="1"/>
    <x v="0"/>
    <n v="5769"/>
    <n v="23447"/>
    <n v="1"/>
    <s v="Y"/>
    <x v="0"/>
    <n v="14"/>
    <n v="3"/>
    <n v="1"/>
    <n v="80"/>
    <n v="0"/>
    <n v="10"/>
    <n v="3"/>
    <n v="3"/>
    <n v="10"/>
    <n v="7"/>
    <n v="1"/>
    <n v="4"/>
  </r>
  <r>
    <x v="28"/>
    <x v="1"/>
    <x v="2"/>
    <n v="336"/>
    <x v="0"/>
    <n v="26"/>
    <n v="3"/>
    <x v="3"/>
    <x v="0"/>
    <x v="1143"/>
    <n v="1"/>
    <x v="1"/>
    <n v="52"/>
    <n v="2"/>
    <n v="2"/>
    <x v="0"/>
    <n v="1"/>
    <x v="1"/>
    <n v="4385"/>
    <n v="24162"/>
    <n v="1"/>
    <s v="Y"/>
    <x v="1"/>
    <n v="15"/>
    <n v="3"/>
    <n v="1"/>
    <n v="80"/>
    <n v="1"/>
    <n v="10"/>
    <n v="2"/>
    <n v="3"/>
    <n v="10"/>
    <n v="7"/>
    <n v="4"/>
    <n v="5"/>
  </r>
  <r>
    <x v="12"/>
    <x v="1"/>
    <x v="1"/>
    <n v="715"/>
    <x v="0"/>
    <n v="2"/>
    <n v="4"/>
    <x v="1"/>
    <x v="0"/>
    <x v="1144"/>
    <n v="4"/>
    <x v="1"/>
    <n v="54"/>
    <n v="3"/>
    <n v="2"/>
    <x v="0"/>
    <n v="1"/>
    <x v="0"/>
    <n v="5332"/>
    <n v="21602"/>
    <n v="7"/>
    <s v="Y"/>
    <x v="1"/>
    <n v="13"/>
    <n v="3"/>
    <n v="4"/>
    <n v="80"/>
    <n v="0"/>
    <n v="10"/>
    <n v="3"/>
    <n v="3"/>
    <n v="5"/>
    <n v="2"/>
    <n v="0"/>
    <n v="3"/>
  </r>
  <r>
    <x v="9"/>
    <x v="1"/>
    <x v="0"/>
    <n v="559"/>
    <x v="1"/>
    <n v="12"/>
    <n v="4"/>
    <x v="0"/>
    <x v="0"/>
    <x v="1145"/>
    <n v="3"/>
    <x v="0"/>
    <n v="76"/>
    <n v="3"/>
    <n v="2"/>
    <x v="3"/>
    <n v="3"/>
    <x v="1"/>
    <n v="4663"/>
    <n v="12421"/>
    <n v="9"/>
    <s v="Y"/>
    <x v="0"/>
    <n v="12"/>
    <n v="3"/>
    <n v="2"/>
    <n v="80"/>
    <n v="2"/>
    <n v="7"/>
    <n v="2"/>
    <n v="3"/>
    <n v="3"/>
    <n v="2"/>
    <n v="1"/>
    <n v="1"/>
  </r>
  <r>
    <x v="13"/>
    <x v="1"/>
    <x v="1"/>
    <n v="426"/>
    <x v="1"/>
    <n v="10"/>
    <n v="4"/>
    <x v="0"/>
    <x v="0"/>
    <x v="1146"/>
    <n v="3"/>
    <x v="1"/>
    <n v="42"/>
    <n v="4"/>
    <n v="2"/>
    <x v="3"/>
    <n v="4"/>
    <x v="2"/>
    <n v="4724"/>
    <n v="17000"/>
    <n v="1"/>
    <s v="Y"/>
    <x v="1"/>
    <n v="13"/>
    <n v="3"/>
    <n v="1"/>
    <n v="80"/>
    <n v="1"/>
    <n v="9"/>
    <n v="3"/>
    <n v="3"/>
    <n v="9"/>
    <n v="7"/>
    <n v="7"/>
    <n v="2"/>
  </r>
  <r>
    <x v="1"/>
    <x v="1"/>
    <x v="0"/>
    <n v="722"/>
    <x v="1"/>
    <n v="25"/>
    <n v="4"/>
    <x v="0"/>
    <x v="0"/>
    <x v="1147"/>
    <n v="3"/>
    <x v="0"/>
    <n v="84"/>
    <n v="3"/>
    <n v="1"/>
    <x v="2"/>
    <n v="1"/>
    <x v="1"/>
    <n v="3211"/>
    <n v="22102"/>
    <n v="1"/>
    <s v="Y"/>
    <x v="1"/>
    <n v="14"/>
    <n v="3"/>
    <n v="4"/>
    <n v="80"/>
    <n v="1"/>
    <n v="10"/>
    <n v="3"/>
    <n v="2"/>
    <n v="9"/>
    <n v="6"/>
    <n v="1"/>
    <n v="4"/>
  </r>
  <r>
    <x v="22"/>
    <x v="1"/>
    <x v="0"/>
    <n v="1387"/>
    <x v="1"/>
    <n v="10"/>
    <n v="5"/>
    <x v="2"/>
    <x v="0"/>
    <x v="1148"/>
    <n v="2"/>
    <x v="1"/>
    <n v="76"/>
    <n v="3"/>
    <n v="2"/>
    <x v="3"/>
    <n v="1"/>
    <x v="1"/>
    <n v="5377"/>
    <n v="3835"/>
    <n v="2"/>
    <s v="Y"/>
    <x v="1"/>
    <n v="13"/>
    <n v="3"/>
    <n v="4"/>
    <n v="80"/>
    <n v="3"/>
    <n v="10"/>
    <n v="3"/>
    <n v="3"/>
    <n v="7"/>
    <n v="7"/>
    <n v="7"/>
    <n v="7"/>
  </r>
  <r>
    <x v="4"/>
    <x v="1"/>
    <x v="0"/>
    <n v="1302"/>
    <x v="1"/>
    <n v="19"/>
    <n v="3"/>
    <x v="1"/>
    <x v="0"/>
    <x v="1149"/>
    <n v="4"/>
    <x v="1"/>
    <n v="67"/>
    <n v="2"/>
    <n v="1"/>
    <x v="2"/>
    <n v="1"/>
    <x v="2"/>
    <n v="4066"/>
    <n v="16290"/>
    <n v="1"/>
    <s v="Y"/>
    <x v="1"/>
    <n v="11"/>
    <n v="3"/>
    <n v="1"/>
    <n v="80"/>
    <n v="2"/>
    <n v="7"/>
    <n v="3"/>
    <n v="3"/>
    <n v="7"/>
    <n v="7"/>
    <n v="0"/>
    <n v="7"/>
  </r>
  <r>
    <x v="10"/>
    <x v="1"/>
    <x v="0"/>
    <n v="819"/>
    <x v="1"/>
    <n v="18"/>
    <n v="5"/>
    <x v="0"/>
    <x v="0"/>
    <x v="1150"/>
    <n v="2"/>
    <x v="1"/>
    <n v="48"/>
    <n v="4"/>
    <n v="2"/>
    <x v="1"/>
    <n v="1"/>
    <x v="1"/>
    <n v="5208"/>
    <n v="26312"/>
    <n v="1"/>
    <s v="Y"/>
    <x v="1"/>
    <n v="11"/>
    <n v="3"/>
    <n v="4"/>
    <n v="80"/>
    <n v="0"/>
    <n v="16"/>
    <n v="2"/>
    <n v="3"/>
    <n v="16"/>
    <n v="15"/>
    <n v="1"/>
    <n v="10"/>
  </r>
  <r>
    <x v="14"/>
    <x v="1"/>
    <x v="0"/>
    <n v="580"/>
    <x v="1"/>
    <n v="27"/>
    <n v="3"/>
    <x v="2"/>
    <x v="0"/>
    <x v="1151"/>
    <n v="2"/>
    <x v="0"/>
    <n v="39"/>
    <n v="1"/>
    <n v="2"/>
    <x v="3"/>
    <n v="1"/>
    <x v="2"/>
    <n v="4877"/>
    <n v="20460"/>
    <n v="0"/>
    <s v="Y"/>
    <x v="1"/>
    <n v="21"/>
    <n v="4"/>
    <n v="2"/>
    <n v="80"/>
    <n v="1"/>
    <n v="6"/>
    <n v="5"/>
    <n v="2"/>
    <n v="5"/>
    <n v="3"/>
    <n v="0"/>
    <n v="0"/>
  </r>
  <r>
    <x v="18"/>
    <x v="1"/>
    <x v="0"/>
    <n v="546"/>
    <x v="1"/>
    <n v="5"/>
    <n v="1"/>
    <x v="2"/>
    <x v="0"/>
    <x v="1152"/>
    <n v="3"/>
    <x v="1"/>
    <n v="97"/>
    <n v="3"/>
    <n v="1"/>
    <x v="1"/>
    <n v="4"/>
    <x v="0"/>
    <n v="3117"/>
    <n v="26009"/>
    <n v="1"/>
    <s v="Y"/>
    <x v="1"/>
    <n v="18"/>
    <n v="3"/>
    <n v="3"/>
    <n v="80"/>
    <n v="0"/>
    <n v="3"/>
    <n v="2"/>
    <n v="3"/>
    <n v="2"/>
    <n v="2"/>
    <n v="2"/>
    <n v="2"/>
  </r>
  <r>
    <x v="41"/>
    <x v="0"/>
    <x v="1"/>
    <n v="544"/>
    <x v="0"/>
    <n v="3"/>
    <n v="2"/>
    <x v="2"/>
    <x v="0"/>
    <x v="1153"/>
    <n v="2"/>
    <x v="0"/>
    <n v="70"/>
    <n v="3"/>
    <n v="1"/>
    <x v="6"/>
    <n v="4"/>
    <x v="0"/>
    <n v="1569"/>
    <n v="18420"/>
    <n v="1"/>
    <s v="Y"/>
    <x v="0"/>
    <n v="12"/>
    <n v="3"/>
    <n v="3"/>
    <n v="80"/>
    <n v="0"/>
    <n v="0"/>
    <n v="2"/>
    <n v="4"/>
    <n v="0"/>
    <n v="0"/>
    <n v="0"/>
    <n v="0"/>
  </r>
  <r>
    <x v="40"/>
    <x v="1"/>
    <x v="0"/>
    <n v="1176"/>
    <x v="2"/>
    <n v="26"/>
    <n v="4"/>
    <x v="0"/>
    <x v="0"/>
    <x v="1154"/>
    <n v="4"/>
    <x v="0"/>
    <n v="98"/>
    <n v="3"/>
    <n v="5"/>
    <x v="5"/>
    <n v="3"/>
    <x v="1"/>
    <n v="19658"/>
    <n v="5220"/>
    <n v="3"/>
    <s v="Y"/>
    <x v="1"/>
    <n v="11"/>
    <n v="3"/>
    <n v="3"/>
    <n v="80"/>
    <n v="1"/>
    <n v="27"/>
    <n v="2"/>
    <n v="3"/>
    <n v="5"/>
    <n v="2"/>
    <n v="1"/>
    <n v="0"/>
  </r>
  <r>
    <x v="22"/>
    <x v="1"/>
    <x v="0"/>
    <n v="170"/>
    <x v="1"/>
    <n v="3"/>
    <n v="2"/>
    <x v="2"/>
    <x v="0"/>
    <x v="1155"/>
    <n v="3"/>
    <x v="1"/>
    <n v="76"/>
    <n v="2"/>
    <n v="2"/>
    <x v="2"/>
    <n v="3"/>
    <x v="2"/>
    <n v="3069"/>
    <n v="10302"/>
    <n v="0"/>
    <s v="Y"/>
    <x v="1"/>
    <n v="15"/>
    <n v="3"/>
    <n v="4"/>
    <n v="80"/>
    <n v="1"/>
    <n v="11"/>
    <n v="3"/>
    <n v="3"/>
    <n v="10"/>
    <n v="8"/>
    <n v="0"/>
    <n v="7"/>
  </r>
  <r>
    <x v="32"/>
    <x v="1"/>
    <x v="0"/>
    <n v="884"/>
    <x v="1"/>
    <n v="15"/>
    <n v="3"/>
    <x v="0"/>
    <x v="0"/>
    <x v="1156"/>
    <n v="1"/>
    <x v="0"/>
    <n v="80"/>
    <n v="2"/>
    <n v="3"/>
    <x v="3"/>
    <n v="3"/>
    <x v="1"/>
    <n v="10435"/>
    <n v="25800"/>
    <n v="1"/>
    <s v="Y"/>
    <x v="1"/>
    <n v="13"/>
    <n v="3"/>
    <n v="4"/>
    <n v="80"/>
    <n v="2"/>
    <n v="18"/>
    <n v="2"/>
    <n v="3"/>
    <n v="18"/>
    <n v="15"/>
    <n v="14"/>
    <n v="12"/>
  </r>
  <r>
    <x v="10"/>
    <x v="1"/>
    <x v="2"/>
    <n v="208"/>
    <x v="1"/>
    <n v="8"/>
    <n v="4"/>
    <x v="0"/>
    <x v="0"/>
    <x v="1157"/>
    <n v="3"/>
    <x v="0"/>
    <n v="52"/>
    <n v="3"/>
    <n v="2"/>
    <x v="4"/>
    <n v="3"/>
    <x v="1"/>
    <n v="4148"/>
    <n v="12250"/>
    <n v="1"/>
    <s v="Y"/>
    <x v="1"/>
    <n v="12"/>
    <n v="3"/>
    <n v="4"/>
    <n v="80"/>
    <n v="1"/>
    <n v="15"/>
    <n v="5"/>
    <n v="3"/>
    <n v="14"/>
    <n v="11"/>
    <n v="2"/>
    <n v="9"/>
  </r>
  <r>
    <x v="2"/>
    <x v="1"/>
    <x v="0"/>
    <n v="671"/>
    <x v="1"/>
    <n v="19"/>
    <n v="3"/>
    <x v="0"/>
    <x v="0"/>
    <x v="1158"/>
    <n v="3"/>
    <x v="1"/>
    <n v="85"/>
    <n v="3"/>
    <n v="2"/>
    <x v="3"/>
    <n v="3"/>
    <x v="1"/>
    <n v="5768"/>
    <n v="26493"/>
    <n v="3"/>
    <s v="Y"/>
    <x v="1"/>
    <n v="17"/>
    <n v="3"/>
    <n v="1"/>
    <n v="80"/>
    <n v="3"/>
    <n v="9"/>
    <n v="2"/>
    <n v="2"/>
    <n v="4"/>
    <n v="3"/>
    <n v="0"/>
    <n v="2"/>
  </r>
  <r>
    <x v="22"/>
    <x v="1"/>
    <x v="1"/>
    <n v="711"/>
    <x v="1"/>
    <n v="4"/>
    <n v="3"/>
    <x v="2"/>
    <x v="0"/>
    <x v="1159"/>
    <n v="1"/>
    <x v="0"/>
    <n v="81"/>
    <n v="3"/>
    <n v="2"/>
    <x v="3"/>
    <n v="3"/>
    <x v="0"/>
    <n v="5042"/>
    <n v="3140"/>
    <n v="0"/>
    <s v="Y"/>
    <x v="1"/>
    <n v="13"/>
    <n v="3"/>
    <n v="4"/>
    <n v="80"/>
    <n v="0"/>
    <n v="10"/>
    <n v="2"/>
    <n v="1"/>
    <n v="9"/>
    <n v="2"/>
    <n v="3"/>
    <n v="8"/>
  </r>
  <r>
    <x v="28"/>
    <x v="1"/>
    <x v="0"/>
    <n v="1329"/>
    <x v="1"/>
    <n v="2"/>
    <n v="2"/>
    <x v="1"/>
    <x v="0"/>
    <x v="1160"/>
    <n v="4"/>
    <x v="0"/>
    <n v="59"/>
    <n v="2"/>
    <n v="2"/>
    <x v="3"/>
    <n v="4"/>
    <x v="2"/>
    <n v="5770"/>
    <n v="5388"/>
    <n v="1"/>
    <s v="Y"/>
    <x v="1"/>
    <n v="19"/>
    <n v="3"/>
    <n v="1"/>
    <n v="80"/>
    <n v="2"/>
    <n v="10"/>
    <n v="3"/>
    <n v="3"/>
    <n v="10"/>
    <n v="7"/>
    <n v="3"/>
    <n v="9"/>
  </r>
  <r>
    <x v="8"/>
    <x v="1"/>
    <x v="0"/>
    <n v="397"/>
    <x v="1"/>
    <n v="2"/>
    <n v="2"/>
    <x v="2"/>
    <x v="0"/>
    <x v="1161"/>
    <n v="4"/>
    <x v="0"/>
    <n v="54"/>
    <n v="2"/>
    <n v="3"/>
    <x v="3"/>
    <n v="3"/>
    <x v="1"/>
    <n v="7756"/>
    <n v="14199"/>
    <n v="3"/>
    <s v="Y"/>
    <x v="0"/>
    <n v="19"/>
    <n v="3"/>
    <n v="4"/>
    <n v="80"/>
    <n v="1"/>
    <n v="10"/>
    <n v="6"/>
    <n v="4"/>
    <n v="5"/>
    <n v="4"/>
    <n v="0"/>
    <n v="2"/>
  </r>
  <r>
    <x v="10"/>
    <x v="0"/>
    <x v="0"/>
    <n v="737"/>
    <x v="0"/>
    <n v="10"/>
    <n v="3"/>
    <x v="2"/>
    <x v="0"/>
    <x v="1162"/>
    <n v="4"/>
    <x v="1"/>
    <n v="55"/>
    <n v="2"/>
    <n v="3"/>
    <x v="0"/>
    <n v="1"/>
    <x v="1"/>
    <n v="10306"/>
    <n v="21530"/>
    <n v="9"/>
    <s v="Y"/>
    <x v="1"/>
    <n v="17"/>
    <n v="3"/>
    <n v="3"/>
    <n v="80"/>
    <n v="0"/>
    <n v="15"/>
    <n v="3"/>
    <n v="3"/>
    <n v="13"/>
    <n v="12"/>
    <n v="6"/>
    <n v="0"/>
  </r>
  <r>
    <x v="2"/>
    <x v="1"/>
    <x v="0"/>
    <n v="1470"/>
    <x v="1"/>
    <n v="10"/>
    <n v="3"/>
    <x v="2"/>
    <x v="0"/>
    <x v="1163"/>
    <n v="2"/>
    <x v="0"/>
    <n v="71"/>
    <n v="3"/>
    <n v="1"/>
    <x v="1"/>
    <n v="2"/>
    <x v="1"/>
    <n v="3936"/>
    <n v="9953"/>
    <n v="1"/>
    <s v="Y"/>
    <x v="1"/>
    <n v="11"/>
    <n v="3"/>
    <n v="1"/>
    <n v="80"/>
    <n v="1"/>
    <n v="8"/>
    <n v="2"/>
    <n v="1"/>
    <n v="8"/>
    <n v="4"/>
    <n v="7"/>
    <n v="7"/>
  </r>
  <r>
    <x v="32"/>
    <x v="1"/>
    <x v="0"/>
    <n v="448"/>
    <x v="1"/>
    <n v="16"/>
    <n v="3"/>
    <x v="0"/>
    <x v="0"/>
    <x v="1164"/>
    <n v="3"/>
    <x v="0"/>
    <n v="84"/>
    <n v="3"/>
    <n v="3"/>
    <x v="3"/>
    <n v="4"/>
    <x v="0"/>
    <n v="7945"/>
    <n v="19948"/>
    <n v="6"/>
    <s v="Y"/>
    <x v="0"/>
    <n v="15"/>
    <n v="3"/>
    <n v="4"/>
    <n v="80"/>
    <n v="0"/>
    <n v="18"/>
    <n v="2"/>
    <n v="2"/>
    <n v="4"/>
    <n v="2"/>
    <n v="3"/>
    <n v="3"/>
  </r>
  <r>
    <x v="20"/>
    <x v="1"/>
    <x v="1"/>
    <n v="602"/>
    <x v="2"/>
    <n v="1"/>
    <n v="5"/>
    <x v="5"/>
    <x v="0"/>
    <x v="1165"/>
    <n v="1"/>
    <x v="1"/>
    <n v="37"/>
    <n v="3"/>
    <n v="2"/>
    <x v="8"/>
    <n v="4"/>
    <x v="1"/>
    <n v="5743"/>
    <n v="10503"/>
    <n v="4"/>
    <s v="Y"/>
    <x v="0"/>
    <n v="11"/>
    <n v="3"/>
    <n v="3"/>
    <n v="80"/>
    <n v="0"/>
    <n v="14"/>
    <n v="3"/>
    <n v="3"/>
    <n v="10"/>
    <n v="7"/>
    <n v="0"/>
    <n v="2"/>
  </r>
  <r>
    <x v="26"/>
    <x v="1"/>
    <x v="1"/>
    <n v="365"/>
    <x v="1"/>
    <n v="4"/>
    <n v="5"/>
    <x v="2"/>
    <x v="0"/>
    <x v="1166"/>
    <n v="3"/>
    <x v="1"/>
    <n v="89"/>
    <n v="2"/>
    <n v="4"/>
    <x v="5"/>
    <n v="4"/>
    <x v="1"/>
    <n v="15202"/>
    <n v="5602"/>
    <n v="2"/>
    <s v="Y"/>
    <x v="1"/>
    <n v="25"/>
    <n v="4"/>
    <n v="2"/>
    <n v="80"/>
    <n v="1"/>
    <n v="23"/>
    <n v="3"/>
    <n v="3"/>
    <n v="2"/>
    <n v="2"/>
    <n v="2"/>
    <n v="2"/>
  </r>
  <r>
    <x v="10"/>
    <x v="0"/>
    <x v="0"/>
    <n v="763"/>
    <x v="0"/>
    <n v="15"/>
    <n v="2"/>
    <x v="2"/>
    <x v="0"/>
    <x v="1167"/>
    <n v="1"/>
    <x v="1"/>
    <n v="59"/>
    <n v="1"/>
    <n v="2"/>
    <x v="0"/>
    <n v="4"/>
    <x v="2"/>
    <n v="5440"/>
    <n v="22098"/>
    <n v="6"/>
    <s v="Y"/>
    <x v="0"/>
    <n v="14"/>
    <n v="3"/>
    <n v="4"/>
    <n v="80"/>
    <n v="2"/>
    <n v="7"/>
    <n v="2"/>
    <n v="2"/>
    <n v="2"/>
    <n v="2"/>
    <n v="2"/>
    <n v="2"/>
  </r>
  <r>
    <x v="17"/>
    <x v="1"/>
    <x v="1"/>
    <n v="567"/>
    <x v="1"/>
    <n v="2"/>
    <n v="1"/>
    <x v="4"/>
    <x v="0"/>
    <x v="1168"/>
    <n v="1"/>
    <x v="0"/>
    <n v="32"/>
    <n v="3"/>
    <n v="1"/>
    <x v="1"/>
    <n v="4"/>
    <x v="0"/>
    <n v="3760"/>
    <n v="17218"/>
    <n v="1"/>
    <s v="Y"/>
    <x v="0"/>
    <n v="13"/>
    <n v="3"/>
    <n v="3"/>
    <n v="80"/>
    <n v="0"/>
    <n v="6"/>
    <n v="2"/>
    <n v="3"/>
    <n v="6"/>
    <n v="3"/>
    <n v="1"/>
    <n v="3"/>
  </r>
  <r>
    <x v="4"/>
    <x v="1"/>
    <x v="0"/>
    <n v="486"/>
    <x v="1"/>
    <n v="8"/>
    <n v="3"/>
    <x v="2"/>
    <x v="0"/>
    <x v="1169"/>
    <n v="2"/>
    <x v="0"/>
    <n v="86"/>
    <n v="4"/>
    <n v="1"/>
    <x v="1"/>
    <n v="3"/>
    <x v="1"/>
    <n v="3517"/>
    <n v="22490"/>
    <n v="7"/>
    <s v="Y"/>
    <x v="1"/>
    <n v="17"/>
    <n v="3"/>
    <n v="1"/>
    <n v="80"/>
    <n v="0"/>
    <n v="5"/>
    <n v="0"/>
    <n v="3"/>
    <n v="3"/>
    <n v="2"/>
    <n v="0"/>
    <n v="2"/>
  </r>
  <r>
    <x v="4"/>
    <x v="1"/>
    <x v="1"/>
    <n v="591"/>
    <x v="1"/>
    <n v="2"/>
    <n v="3"/>
    <x v="2"/>
    <x v="0"/>
    <x v="1170"/>
    <n v="4"/>
    <x v="1"/>
    <n v="87"/>
    <n v="3"/>
    <n v="1"/>
    <x v="1"/>
    <n v="4"/>
    <x v="0"/>
    <n v="2580"/>
    <n v="6297"/>
    <n v="2"/>
    <s v="Y"/>
    <x v="1"/>
    <n v="13"/>
    <n v="3"/>
    <n v="3"/>
    <n v="80"/>
    <n v="0"/>
    <n v="6"/>
    <n v="0"/>
    <n v="2"/>
    <n v="4"/>
    <n v="2"/>
    <n v="1"/>
    <n v="2"/>
  </r>
  <r>
    <x v="32"/>
    <x v="0"/>
    <x v="0"/>
    <n v="1329"/>
    <x v="1"/>
    <n v="7"/>
    <n v="3"/>
    <x v="0"/>
    <x v="0"/>
    <x v="1171"/>
    <n v="1"/>
    <x v="1"/>
    <n v="73"/>
    <n v="3"/>
    <n v="1"/>
    <x v="2"/>
    <n v="1"/>
    <x v="0"/>
    <n v="2166"/>
    <n v="3339"/>
    <n v="3"/>
    <s v="Y"/>
    <x v="0"/>
    <n v="14"/>
    <n v="3"/>
    <n v="2"/>
    <n v="80"/>
    <n v="0"/>
    <n v="10"/>
    <n v="3"/>
    <n v="1"/>
    <n v="4"/>
    <n v="2"/>
    <n v="0"/>
    <n v="3"/>
  </r>
  <r>
    <x v="11"/>
    <x v="1"/>
    <x v="0"/>
    <n v="469"/>
    <x v="0"/>
    <n v="10"/>
    <n v="3"/>
    <x v="2"/>
    <x v="0"/>
    <x v="1172"/>
    <n v="3"/>
    <x v="1"/>
    <n v="42"/>
    <n v="2"/>
    <n v="2"/>
    <x v="0"/>
    <n v="3"/>
    <x v="0"/>
    <n v="5869"/>
    <n v="23413"/>
    <n v="9"/>
    <s v="Y"/>
    <x v="1"/>
    <n v="11"/>
    <n v="3"/>
    <n v="3"/>
    <n v="80"/>
    <n v="0"/>
    <n v="8"/>
    <n v="2"/>
    <n v="3"/>
    <n v="5"/>
    <n v="2"/>
    <n v="1"/>
    <n v="4"/>
  </r>
  <r>
    <x v="9"/>
    <x v="1"/>
    <x v="0"/>
    <n v="711"/>
    <x v="1"/>
    <n v="5"/>
    <n v="4"/>
    <x v="0"/>
    <x v="0"/>
    <x v="1173"/>
    <n v="2"/>
    <x v="0"/>
    <n v="42"/>
    <n v="3"/>
    <n v="3"/>
    <x v="4"/>
    <n v="1"/>
    <x v="1"/>
    <n v="8008"/>
    <n v="22792"/>
    <n v="4"/>
    <s v="Y"/>
    <x v="1"/>
    <n v="12"/>
    <n v="3"/>
    <n v="3"/>
    <n v="80"/>
    <n v="2"/>
    <n v="9"/>
    <n v="6"/>
    <n v="3"/>
    <n v="3"/>
    <n v="2"/>
    <n v="0"/>
    <n v="2"/>
  </r>
  <r>
    <x v="36"/>
    <x v="1"/>
    <x v="1"/>
    <n v="772"/>
    <x v="1"/>
    <n v="2"/>
    <n v="1"/>
    <x v="0"/>
    <x v="0"/>
    <x v="1174"/>
    <n v="4"/>
    <x v="1"/>
    <n v="77"/>
    <n v="4"/>
    <n v="2"/>
    <x v="3"/>
    <n v="3"/>
    <x v="2"/>
    <n v="5206"/>
    <n v="4973"/>
    <n v="1"/>
    <s v="Y"/>
    <x v="1"/>
    <n v="17"/>
    <n v="3"/>
    <n v="3"/>
    <n v="80"/>
    <n v="2"/>
    <n v="7"/>
    <n v="6"/>
    <n v="3"/>
    <n v="7"/>
    <n v="7"/>
    <n v="0"/>
    <n v="7"/>
  </r>
  <r>
    <x v="22"/>
    <x v="1"/>
    <x v="0"/>
    <n v="492"/>
    <x v="1"/>
    <n v="12"/>
    <n v="3"/>
    <x v="2"/>
    <x v="0"/>
    <x v="1175"/>
    <n v="4"/>
    <x v="1"/>
    <n v="66"/>
    <n v="3"/>
    <n v="2"/>
    <x v="3"/>
    <n v="2"/>
    <x v="1"/>
    <n v="5295"/>
    <n v="7693"/>
    <n v="4"/>
    <s v="Y"/>
    <x v="1"/>
    <n v="21"/>
    <n v="4"/>
    <n v="3"/>
    <n v="80"/>
    <n v="0"/>
    <n v="7"/>
    <n v="3"/>
    <n v="3"/>
    <n v="5"/>
    <n v="4"/>
    <n v="1"/>
    <n v="0"/>
  </r>
  <r>
    <x v="1"/>
    <x v="1"/>
    <x v="0"/>
    <n v="301"/>
    <x v="1"/>
    <n v="22"/>
    <n v="4"/>
    <x v="1"/>
    <x v="0"/>
    <x v="1176"/>
    <n v="1"/>
    <x v="0"/>
    <n v="72"/>
    <n v="3"/>
    <n v="4"/>
    <x v="7"/>
    <n v="2"/>
    <x v="1"/>
    <n v="16413"/>
    <n v="3498"/>
    <n v="3"/>
    <s v="Y"/>
    <x v="1"/>
    <n v="16"/>
    <n v="3"/>
    <n v="2"/>
    <n v="80"/>
    <n v="2"/>
    <n v="27"/>
    <n v="2"/>
    <n v="3"/>
    <n v="4"/>
    <n v="2"/>
    <n v="1"/>
    <n v="2"/>
  </r>
  <r>
    <x v="24"/>
    <x v="1"/>
    <x v="0"/>
    <n v="813"/>
    <x v="1"/>
    <n v="17"/>
    <n v="5"/>
    <x v="0"/>
    <x v="0"/>
    <x v="1177"/>
    <n v="4"/>
    <x v="0"/>
    <n v="50"/>
    <n v="2"/>
    <n v="3"/>
    <x v="7"/>
    <n v="1"/>
    <x v="2"/>
    <n v="13269"/>
    <n v="21981"/>
    <n v="5"/>
    <s v="Y"/>
    <x v="1"/>
    <n v="15"/>
    <n v="3"/>
    <n v="3"/>
    <n v="80"/>
    <n v="3"/>
    <n v="19"/>
    <n v="3"/>
    <n v="3"/>
    <n v="14"/>
    <n v="11"/>
    <n v="1"/>
    <n v="11"/>
  </r>
  <r>
    <x v="35"/>
    <x v="1"/>
    <x v="0"/>
    <n v="1141"/>
    <x v="0"/>
    <n v="2"/>
    <n v="3"/>
    <x v="2"/>
    <x v="0"/>
    <x v="1178"/>
    <n v="3"/>
    <x v="0"/>
    <n v="31"/>
    <n v="3"/>
    <n v="1"/>
    <x v="6"/>
    <n v="3"/>
    <x v="0"/>
    <n v="2783"/>
    <n v="13251"/>
    <n v="1"/>
    <s v="Y"/>
    <x v="1"/>
    <n v="19"/>
    <n v="3"/>
    <n v="1"/>
    <n v="80"/>
    <n v="0"/>
    <n v="2"/>
    <n v="3"/>
    <n v="3"/>
    <n v="2"/>
    <n v="2"/>
    <n v="2"/>
    <n v="2"/>
  </r>
  <r>
    <x v="13"/>
    <x v="1"/>
    <x v="0"/>
    <n v="1130"/>
    <x v="1"/>
    <n v="3"/>
    <n v="3"/>
    <x v="0"/>
    <x v="0"/>
    <x v="1179"/>
    <n v="4"/>
    <x v="0"/>
    <n v="66"/>
    <n v="3"/>
    <n v="2"/>
    <x v="1"/>
    <n v="2"/>
    <x v="2"/>
    <n v="5433"/>
    <n v="19332"/>
    <n v="1"/>
    <s v="Y"/>
    <x v="1"/>
    <n v="12"/>
    <n v="3"/>
    <n v="3"/>
    <n v="80"/>
    <n v="1"/>
    <n v="11"/>
    <n v="2"/>
    <n v="3"/>
    <n v="11"/>
    <n v="8"/>
    <n v="7"/>
    <n v="9"/>
  </r>
  <r>
    <x v="9"/>
    <x v="1"/>
    <x v="0"/>
    <n v="311"/>
    <x v="1"/>
    <n v="7"/>
    <n v="3"/>
    <x v="0"/>
    <x v="0"/>
    <x v="1180"/>
    <n v="1"/>
    <x v="1"/>
    <n v="77"/>
    <n v="3"/>
    <n v="1"/>
    <x v="2"/>
    <n v="2"/>
    <x v="0"/>
    <n v="2013"/>
    <n v="10950"/>
    <n v="2"/>
    <s v="Y"/>
    <x v="1"/>
    <n v="11"/>
    <n v="3"/>
    <n v="3"/>
    <n v="80"/>
    <n v="0"/>
    <n v="15"/>
    <n v="4"/>
    <n v="3"/>
    <n v="4"/>
    <n v="3"/>
    <n v="1"/>
    <n v="3"/>
  </r>
  <r>
    <x v="1"/>
    <x v="1"/>
    <x v="0"/>
    <n v="465"/>
    <x v="1"/>
    <n v="6"/>
    <n v="1"/>
    <x v="0"/>
    <x v="0"/>
    <x v="1181"/>
    <n v="3"/>
    <x v="0"/>
    <n v="41"/>
    <n v="2"/>
    <n v="4"/>
    <x v="4"/>
    <n v="3"/>
    <x v="1"/>
    <n v="13966"/>
    <n v="11652"/>
    <n v="2"/>
    <s v="Y"/>
    <x v="0"/>
    <n v="19"/>
    <n v="3"/>
    <n v="2"/>
    <n v="80"/>
    <n v="1"/>
    <n v="30"/>
    <n v="3"/>
    <n v="3"/>
    <n v="15"/>
    <n v="11"/>
    <n v="2"/>
    <n v="12"/>
  </r>
  <r>
    <x v="9"/>
    <x v="1"/>
    <x v="2"/>
    <n v="894"/>
    <x v="1"/>
    <n v="1"/>
    <n v="4"/>
    <x v="2"/>
    <x v="0"/>
    <x v="1182"/>
    <n v="4"/>
    <x v="0"/>
    <n v="33"/>
    <n v="2"/>
    <n v="2"/>
    <x v="3"/>
    <n v="3"/>
    <x v="1"/>
    <n v="4374"/>
    <n v="15411"/>
    <n v="0"/>
    <s v="Y"/>
    <x v="1"/>
    <n v="15"/>
    <n v="3"/>
    <n v="3"/>
    <n v="80"/>
    <n v="0"/>
    <n v="4"/>
    <n v="6"/>
    <n v="3"/>
    <n v="3"/>
    <n v="2"/>
    <n v="1"/>
    <n v="2"/>
  </r>
  <r>
    <x v="9"/>
    <x v="1"/>
    <x v="0"/>
    <n v="1040"/>
    <x v="1"/>
    <n v="3"/>
    <n v="2"/>
    <x v="0"/>
    <x v="0"/>
    <x v="1183"/>
    <n v="4"/>
    <x v="1"/>
    <n v="79"/>
    <n v="4"/>
    <n v="2"/>
    <x v="4"/>
    <n v="1"/>
    <x v="2"/>
    <n v="6842"/>
    <n v="26308"/>
    <n v="6"/>
    <s v="Y"/>
    <x v="1"/>
    <n v="20"/>
    <n v="4"/>
    <n v="1"/>
    <n v="80"/>
    <n v="1"/>
    <n v="13"/>
    <n v="3"/>
    <n v="3"/>
    <n v="5"/>
    <n v="4"/>
    <n v="0"/>
    <n v="4"/>
  </r>
  <r>
    <x v="33"/>
    <x v="1"/>
    <x v="0"/>
    <n v="584"/>
    <x v="1"/>
    <n v="22"/>
    <n v="5"/>
    <x v="2"/>
    <x v="0"/>
    <x v="1184"/>
    <n v="2"/>
    <x v="0"/>
    <n v="91"/>
    <n v="3"/>
    <n v="4"/>
    <x v="5"/>
    <n v="3"/>
    <x v="1"/>
    <n v="17426"/>
    <n v="18685"/>
    <n v="3"/>
    <s v="Y"/>
    <x v="1"/>
    <n v="25"/>
    <n v="4"/>
    <n v="3"/>
    <n v="80"/>
    <n v="1"/>
    <n v="36"/>
    <n v="6"/>
    <n v="3"/>
    <n v="10"/>
    <n v="8"/>
    <n v="4"/>
    <n v="7"/>
  </r>
  <r>
    <x v="23"/>
    <x v="1"/>
    <x v="0"/>
    <n v="1291"/>
    <x v="1"/>
    <n v="15"/>
    <n v="2"/>
    <x v="0"/>
    <x v="0"/>
    <x v="1185"/>
    <n v="3"/>
    <x v="1"/>
    <n v="65"/>
    <n v="2"/>
    <n v="4"/>
    <x v="7"/>
    <n v="3"/>
    <x v="1"/>
    <n v="17603"/>
    <n v="3525"/>
    <n v="1"/>
    <s v="Y"/>
    <x v="1"/>
    <n v="24"/>
    <n v="4"/>
    <n v="1"/>
    <n v="80"/>
    <n v="1"/>
    <n v="14"/>
    <n v="3"/>
    <n v="3"/>
    <n v="14"/>
    <n v="10"/>
    <n v="6"/>
    <n v="11"/>
  </r>
  <r>
    <x v="10"/>
    <x v="0"/>
    <x v="1"/>
    <n v="880"/>
    <x v="0"/>
    <n v="12"/>
    <n v="4"/>
    <x v="1"/>
    <x v="0"/>
    <x v="1186"/>
    <n v="4"/>
    <x v="1"/>
    <n v="36"/>
    <n v="3"/>
    <n v="2"/>
    <x v="0"/>
    <n v="4"/>
    <x v="0"/>
    <n v="4581"/>
    <n v="10414"/>
    <n v="3"/>
    <s v="Y"/>
    <x v="0"/>
    <n v="24"/>
    <n v="4"/>
    <n v="1"/>
    <n v="80"/>
    <n v="0"/>
    <n v="13"/>
    <n v="2"/>
    <n v="4"/>
    <n v="11"/>
    <n v="9"/>
    <n v="6"/>
    <n v="7"/>
  </r>
  <r>
    <x v="8"/>
    <x v="1"/>
    <x v="1"/>
    <n v="1189"/>
    <x v="1"/>
    <n v="1"/>
    <n v="3"/>
    <x v="0"/>
    <x v="0"/>
    <x v="1187"/>
    <n v="4"/>
    <x v="1"/>
    <n v="90"/>
    <n v="3"/>
    <n v="2"/>
    <x v="1"/>
    <n v="4"/>
    <x v="1"/>
    <n v="4735"/>
    <n v="9867"/>
    <n v="7"/>
    <s v="Y"/>
    <x v="1"/>
    <n v="15"/>
    <n v="3"/>
    <n v="4"/>
    <n v="80"/>
    <n v="2"/>
    <n v="19"/>
    <n v="4"/>
    <n v="4"/>
    <n v="13"/>
    <n v="11"/>
    <n v="2"/>
    <n v="9"/>
  </r>
  <r>
    <x v="11"/>
    <x v="1"/>
    <x v="0"/>
    <n v="991"/>
    <x v="0"/>
    <n v="5"/>
    <n v="3"/>
    <x v="2"/>
    <x v="0"/>
    <x v="1188"/>
    <n v="1"/>
    <x v="1"/>
    <n v="43"/>
    <n v="2"/>
    <n v="2"/>
    <x v="0"/>
    <n v="2"/>
    <x v="2"/>
    <n v="4187"/>
    <n v="3356"/>
    <n v="1"/>
    <s v="Y"/>
    <x v="0"/>
    <n v="13"/>
    <n v="3"/>
    <n v="2"/>
    <n v="80"/>
    <n v="1"/>
    <n v="10"/>
    <n v="3"/>
    <n v="2"/>
    <n v="10"/>
    <n v="0"/>
    <n v="0"/>
    <n v="9"/>
  </r>
  <r>
    <x v="3"/>
    <x v="1"/>
    <x v="0"/>
    <n v="392"/>
    <x v="0"/>
    <n v="2"/>
    <n v="4"/>
    <x v="2"/>
    <x v="0"/>
    <x v="1189"/>
    <n v="4"/>
    <x v="1"/>
    <n v="93"/>
    <n v="3"/>
    <n v="2"/>
    <x v="0"/>
    <n v="4"/>
    <x v="2"/>
    <n v="5505"/>
    <n v="3921"/>
    <n v="1"/>
    <s v="Y"/>
    <x v="1"/>
    <n v="14"/>
    <n v="3"/>
    <n v="3"/>
    <n v="80"/>
    <n v="2"/>
    <n v="6"/>
    <n v="5"/>
    <n v="3"/>
    <n v="6"/>
    <n v="2"/>
    <n v="0"/>
    <n v="4"/>
  </r>
  <r>
    <x v="5"/>
    <x v="1"/>
    <x v="0"/>
    <n v="977"/>
    <x v="1"/>
    <n v="2"/>
    <n v="3"/>
    <x v="2"/>
    <x v="0"/>
    <x v="1190"/>
    <n v="4"/>
    <x v="1"/>
    <n v="45"/>
    <n v="3"/>
    <n v="2"/>
    <x v="1"/>
    <n v="2"/>
    <x v="2"/>
    <n v="5470"/>
    <n v="25518"/>
    <n v="0"/>
    <s v="Y"/>
    <x v="1"/>
    <n v="13"/>
    <n v="3"/>
    <n v="3"/>
    <n v="80"/>
    <n v="2"/>
    <n v="10"/>
    <n v="4"/>
    <n v="2"/>
    <n v="9"/>
    <n v="5"/>
    <n v="1"/>
    <n v="6"/>
  </r>
  <r>
    <x v="12"/>
    <x v="1"/>
    <x v="0"/>
    <n v="1112"/>
    <x v="0"/>
    <n v="5"/>
    <n v="4"/>
    <x v="0"/>
    <x v="0"/>
    <x v="1191"/>
    <n v="1"/>
    <x v="0"/>
    <n v="67"/>
    <n v="3"/>
    <n v="2"/>
    <x v="0"/>
    <n v="4"/>
    <x v="1"/>
    <n v="5476"/>
    <n v="22589"/>
    <n v="1"/>
    <s v="Y"/>
    <x v="1"/>
    <n v="11"/>
    <n v="3"/>
    <n v="1"/>
    <n v="80"/>
    <n v="2"/>
    <n v="10"/>
    <n v="2"/>
    <n v="3"/>
    <n v="10"/>
    <n v="0"/>
    <n v="0"/>
    <n v="2"/>
  </r>
  <r>
    <x v="1"/>
    <x v="1"/>
    <x v="0"/>
    <n v="464"/>
    <x v="1"/>
    <n v="16"/>
    <n v="3"/>
    <x v="2"/>
    <x v="0"/>
    <x v="1192"/>
    <n v="4"/>
    <x v="0"/>
    <n v="74"/>
    <n v="3"/>
    <n v="1"/>
    <x v="2"/>
    <n v="1"/>
    <x v="2"/>
    <n v="2587"/>
    <n v="24941"/>
    <n v="4"/>
    <s v="Y"/>
    <x v="0"/>
    <n v="16"/>
    <n v="3"/>
    <n v="2"/>
    <n v="80"/>
    <n v="1"/>
    <n v="17"/>
    <n v="2"/>
    <n v="2"/>
    <n v="2"/>
    <n v="2"/>
    <n v="2"/>
    <n v="2"/>
  </r>
  <r>
    <x v="8"/>
    <x v="1"/>
    <x v="1"/>
    <n v="148"/>
    <x v="1"/>
    <n v="2"/>
    <n v="3"/>
    <x v="2"/>
    <x v="0"/>
    <x v="1193"/>
    <n v="4"/>
    <x v="0"/>
    <n v="42"/>
    <n v="2"/>
    <n v="1"/>
    <x v="2"/>
    <n v="2"/>
    <x v="0"/>
    <n v="2440"/>
    <n v="23826"/>
    <n v="1"/>
    <s v="Y"/>
    <x v="1"/>
    <n v="22"/>
    <n v="4"/>
    <n v="2"/>
    <n v="80"/>
    <n v="0"/>
    <n v="4"/>
    <n v="3"/>
    <n v="3"/>
    <n v="4"/>
    <n v="3"/>
    <n v="3"/>
    <n v="3"/>
  </r>
  <r>
    <x v="40"/>
    <x v="1"/>
    <x v="0"/>
    <n v="1225"/>
    <x v="0"/>
    <n v="2"/>
    <n v="4"/>
    <x v="0"/>
    <x v="0"/>
    <x v="1194"/>
    <n v="2"/>
    <x v="0"/>
    <n v="47"/>
    <n v="4"/>
    <n v="4"/>
    <x v="5"/>
    <n v="2"/>
    <x v="2"/>
    <n v="15972"/>
    <n v="21086"/>
    <n v="6"/>
    <s v="Y"/>
    <x v="1"/>
    <n v="14"/>
    <n v="3"/>
    <n v="3"/>
    <n v="80"/>
    <n v="3"/>
    <n v="29"/>
    <n v="2"/>
    <n v="3"/>
    <n v="3"/>
    <n v="2"/>
    <n v="1"/>
    <n v="2"/>
  </r>
  <r>
    <x v="1"/>
    <x v="1"/>
    <x v="0"/>
    <n v="809"/>
    <x v="1"/>
    <n v="1"/>
    <n v="3"/>
    <x v="0"/>
    <x v="0"/>
    <x v="1195"/>
    <n v="3"/>
    <x v="1"/>
    <n v="36"/>
    <n v="3"/>
    <n v="4"/>
    <x v="5"/>
    <n v="3"/>
    <x v="0"/>
    <n v="15379"/>
    <n v="22384"/>
    <n v="4"/>
    <s v="Y"/>
    <x v="1"/>
    <n v="14"/>
    <n v="3"/>
    <n v="1"/>
    <n v="80"/>
    <n v="0"/>
    <n v="23"/>
    <n v="2"/>
    <n v="3"/>
    <n v="8"/>
    <n v="7"/>
    <n v="0"/>
    <n v="0"/>
  </r>
  <r>
    <x v="0"/>
    <x v="1"/>
    <x v="0"/>
    <n v="1206"/>
    <x v="0"/>
    <n v="23"/>
    <n v="2"/>
    <x v="0"/>
    <x v="0"/>
    <x v="1196"/>
    <n v="4"/>
    <x v="1"/>
    <n v="80"/>
    <n v="3"/>
    <n v="3"/>
    <x v="0"/>
    <n v="3"/>
    <x v="0"/>
    <n v="7082"/>
    <n v="11591"/>
    <n v="3"/>
    <s v="Y"/>
    <x v="0"/>
    <n v="16"/>
    <n v="3"/>
    <n v="4"/>
    <n v="80"/>
    <n v="0"/>
    <n v="21"/>
    <n v="2"/>
    <n v="3"/>
    <n v="2"/>
    <n v="0"/>
    <n v="0"/>
    <n v="2"/>
  </r>
  <r>
    <x v="35"/>
    <x v="1"/>
    <x v="0"/>
    <n v="727"/>
    <x v="0"/>
    <n v="9"/>
    <n v="1"/>
    <x v="0"/>
    <x v="0"/>
    <x v="1197"/>
    <n v="4"/>
    <x v="1"/>
    <n v="54"/>
    <n v="3"/>
    <n v="1"/>
    <x v="6"/>
    <n v="1"/>
    <x v="0"/>
    <n v="2728"/>
    <n v="21082"/>
    <n v="1"/>
    <s v="Y"/>
    <x v="1"/>
    <n v="11"/>
    <n v="3"/>
    <n v="1"/>
    <n v="80"/>
    <n v="0"/>
    <n v="2"/>
    <n v="3"/>
    <n v="3"/>
    <n v="2"/>
    <n v="2"/>
    <n v="0"/>
    <n v="2"/>
  </r>
  <r>
    <x v="3"/>
    <x v="1"/>
    <x v="2"/>
    <n v="530"/>
    <x v="0"/>
    <n v="16"/>
    <n v="3"/>
    <x v="0"/>
    <x v="0"/>
    <x v="1198"/>
    <n v="3"/>
    <x v="0"/>
    <n v="36"/>
    <n v="3"/>
    <n v="2"/>
    <x v="0"/>
    <n v="4"/>
    <x v="2"/>
    <n v="5368"/>
    <n v="16130"/>
    <n v="1"/>
    <s v="Y"/>
    <x v="0"/>
    <n v="25"/>
    <n v="4"/>
    <n v="3"/>
    <n v="80"/>
    <n v="1"/>
    <n v="7"/>
    <n v="2"/>
    <n v="3"/>
    <n v="6"/>
    <n v="5"/>
    <n v="1"/>
    <n v="2"/>
  </r>
  <r>
    <x v="9"/>
    <x v="1"/>
    <x v="0"/>
    <n v="1351"/>
    <x v="1"/>
    <n v="26"/>
    <n v="4"/>
    <x v="0"/>
    <x v="0"/>
    <x v="1199"/>
    <n v="1"/>
    <x v="1"/>
    <n v="80"/>
    <n v="3"/>
    <n v="2"/>
    <x v="4"/>
    <n v="3"/>
    <x v="1"/>
    <n v="5347"/>
    <n v="7419"/>
    <n v="6"/>
    <s v="Y"/>
    <x v="1"/>
    <n v="14"/>
    <n v="3"/>
    <n v="2"/>
    <n v="80"/>
    <n v="2"/>
    <n v="10"/>
    <n v="2"/>
    <n v="2"/>
    <n v="3"/>
    <n v="2"/>
    <n v="0"/>
    <n v="2"/>
  </r>
  <r>
    <x v="20"/>
    <x v="1"/>
    <x v="0"/>
    <n v="528"/>
    <x v="2"/>
    <n v="1"/>
    <n v="3"/>
    <x v="0"/>
    <x v="0"/>
    <x v="1200"/>
    <n v="3"/>
    <x v="0"/>
    <n v="44"/>
    <n v="3"/>
    <n v="1"/>
    <x v="8"/>
    <n v="4"/>
    <x v="2"/>
    <n v="3195"/>
    <n v="4167"/>
    <n v="4"/>
    <s v="Y"/>
    <x v="0"/>
    <n v="18"/>
    <n v="3"/>
    <n v="1"/>
    <n v="80"/>
    <n v="3"/>
    <n v="8"/>
    <n v="2"/>
    <n v="3"/>
    <n v="2"/>
    <n v="2"/>
    <n v="2"/>
    <n v="2"/>
  </r>
  <r>
    <x v="30"/>
    <x v="0"/>
    <x v="0"/>
    <n v="1320"/>
    <x v="1"/>
    <n v="8"/>
    <n v="1"/>
    <x v="2"/>
    <x v="0"/>
    <x v="1201"/>
    <n v="4"/>
    <x v="1"/>
    <n v="93"/>
    <n v="2"/>
    <n v="1"/>
    <x v="2"/>
    <n v="3"/>
    <x v="0"/>
    <n v="3989"/>
    <n v="20586"/>
    <n v="1"/>
    <s v="Y"/>
    <x v="0"/>
    <n v="11"/>
    <n v="3"/>
    <n v="1"/>
    <n v="80"/>
    <n v="0"/>
    <n v="5"/>
    <n v="2"/>
    <n v="3"/>
    <n v="5"/>
    <n v="4"/>
    <n v="1"/>
    <n v="2"/>
  </r>
  <r>
    <x v="8"/>
    <x v="1"/>
    <x v="0"/>
    <n v="1495"/>
    <x v="1"/>
    <n v="4"/>
    <n v="2"/>
    <x v="2"/>
    <x v="0"/>
    <x v="1202"/>
    <n v="4"/>
    <x v="0"/>
    <n v="87"/>
    <n v="3"/>
    <n v="1"/>
    <x v="2"/>
    <n v="3"/>
    <x v="1"/>
    <n v="3306"/>
    <n v="26176"/>
    <n v="7"/>
    <s v="Y"/>
    <x v="1"/>
    <n v="19"/>
    <n v="3"/>
    <n v="4"/>
    <n v="80"/>
    <n v="1"/>
    <n v="7"/>
    <n v="5"/>
    <n v="2"/>
    <n v="0"/>
    <n v="0"/>
    <n v="0"/>
    <n v="0"/>
  </r>
  <r>
    <x v="16"/>
    <x v="1"/>
    <x v="0"/>
    <n v="1395"/>
    <x v="1"/>
    <n v="24"/>
    <n v="4"/>
    <x v="2"/>
    <x v="0"/>
    <x v="1203"/>
    <n v="2"/>
    <x v="1"/>
    <n v="48"/>
    <n v="4"/>
    <n v="3"/>
    <x v="4"/>
    <n v="4"/>
    <x v="1"/>
    <n v="7005"/>
    <n v="3458"/>
    <n v="3"/>
    <s v="Y"/>
    <x v="1"/>
    <n v="15"/>
    <n v="3"/>
    <n v="3"/>
    <n v="80"/>
    <n v="0"/>
    <n v="11"/>
    <n v="2"/>
    <n v="3"/>
    <n v="4"/>
    <n v="3"/>
    <n v="1"/>
    <n v="2"/>
  </r>
  <r>
    <x v="26"/>
    <x v="0"/>
    <x v="1"/>
    <n v="708"/>
    <x v="0"/>
    <n v="7"/>
    <n v="2"/>
    <x v="2"/>
    <x v="0"/>
    <x v="1204"/>
    <n v="4"/>
    <x v="0"/>
    <n v="95"/>
    <n v="3"/>
    <n v="1"/>
    <x v="6"/>
    <n v="3"/>
    <x v="1"/>
    <n v="2655"/>
    <n v="11740"/>
    <n v="2"/>
    <s v="Y"/>
    <x v="0"/>
    <n v="11"/>
    <n v="3"/>
    <n v="3"/>
    <n v="80"/>
    <n v="2"/>
    <n v="19"/>
    <n v="3"/>
    <n v="3"/>
    <n v="9"/>
    <n v="7"/>
    <n v="7"/>
    <n v="7"/>
  </r>
  <r>
    <x v="5"/>
    <x v="0"/>
    <x v="0"/>
    <n v="1259"/>
    <x v="1"/>
    <n v="2"/>
    <n v="4"/>
    <x v="0"/>
    <x v="0"/>
    <x v="1205"/>
    <n v="4"/>
    <x v="1"/>
    <n v="95"/>
    <n v="3"/>
    <n v="1"/>
    <x v="2"/>
    <n v="2"/>
    <x v="0"/>
    <n v="1393"/>
    <n v="24852"/>
    <n v="1"/>
    <s v="Y"/>
    <x v="1"/>
    <n v="12"/>
    <n v="3"/>
    <n v="1"/>
    <n v="80"/>
    <n v="0"/>
    <n v="1"/>
    <n v="2"/>
    <n v="3"/>
    <n v="1"/>
    <n v="0"/>
    <n v="0"/>
    <n v="0"/>
  </r>
  <r>
    <x v="25"/>
    <x v="1"/>
    <x v="2"/>
    <n v="786"/>
    <x v="1"/>
    <n v="7"/>
    <n v="3"/>
    <x v="2"/>
    <x v="0"/>
    <x v="1206"/>
    <n v="4"/>
    <x v="1"/>
    <n v="76"/>
    <n v="3"/>
    <n v="1"/>
    <x v="2"/>
    <n v="4"/>
    <x v="0"/>
    <n v="2570"/>
    <n v="11925"/>
    <n v="1"/>
    <s v="Y"/>
    <x v="1"/>
    <n v="20"/>
    <n v="4"/>
    <n v="3"/>
    <n v="80"/>
    <n v="0"/>
    <n v="7"/>
    <n v="5"/>
    <n v="3"/>
    <n v="7"/>
    <n v="7"/>
    <n v="5"/>
    <n v="7"/>
  </r>
  <r>
    <x v="27"/>
    <x v="1"/>
    <x v="0"/>
    <n v="1441"/>
    <x v="1"/>
    <n v="22"/>
    <n v="3"/>
    <x v="4"/>
    <x v="0"/>
    <x v="1207"/>
    <n v="1"/>
    <x v="1"/>
    <n v="94"/>
    <n v="2"/>
    <n v="1"/>
    <x v="1"/>
    <n v="2"/>
    <x v="2"/>
    <n v="3537"/>
    <n v="23737"/>
    <n v="5"/>
    <s v="Y"/>
    <x v="1"/>
    <n v="12"/>
    <n v="3"/>
    <n v="4"/>
    <n v="80"/>
    <n v="1"/>
    <n v="8"/>
    <n v="1"/>
    <n v="3"/>
    <n v="4"/>
    <n v="2"/>
    <n v="1"/>
    <n v="2"/>
  </r>
  <r>
    <x v="13"/>
    <x v="1"/>
    <x v="0"/>
    <n v="1157"/>
    <x v="1"/>
    <n v="5"/>
    <n v="2"/>
    <x v="2"/>
    <x v="0"/>
    <x v="1208"/>
    <n v="2"/>
    <x v="1"/>
    <n v="57"/>
    <n v="2"/>
    <n v="2"/>
    <x v="2"/>
    <n v="4"/>
    <x v="1"/>
    <n v="3986"/>
    <n v="11912"/>
    <n v="1"/>
    <s v="Y"/>
    <x v="1"/>
    <n v="14"/>
    <n v="3"/>
    <n v="3"/>
    <n v="80"/>
    <n v="1"/>
    <n v="15"/>
    <n v="3"/>
    <n v="4"/>
    <n v="15"/>
    <n v="10"/>
    <n v="4"/>
    <n v="13"/>
  </r>
  <r>
    <x v="42"/>
    <x v="1"/>
    <x v="0"/>
    <n v="370"/>
    <x v="1"/>
    <n v="1"/>
    <n v="4"/>
    <x v="2"/>
    <x v="0"/>
    <x v="1209"/>
    <n v="3"/>
    <x v="1"/>
    <n v="92"/>
    <n v="1"/>
    <n v="3"/>
    <x v="4"/>
    <n v="4"/>
    <x v="2"/>
    <n v="10883"/>
    <n v="20467"/>
    <n v="3"/>
    <s v="Y"/>
    <x v="1"/>
    <n v="20"/>
    <n v="4"/>
    <n v="3"/>
    <n v="80"/>
    <n v="1"/>
    <n v="19"/>
    <n v="2"/>
    <n v="4"/>
    <n v="1"/>
    <n v="0"/>
    <n v="0"/>
    <n v="0"/>
  </r>
  <r>
    <x v="3"/>
    <x v="1"/>
    <x v="0"/>
    <n v="267"/>
    <x v="1"/>
    <n v="21"/>
    <n v="3"/>
    <x v="2"/>
    <x v="0"/>
    <x v="1210"/>
    <n v="2"/>
    <x v="1"/>
    <n v="79"/>
    <n v="4"/>
    <n v="1"/>
    <x v="2"/>
    <n v="2"/>
    <x v="1"/>
    <n v="2028"/>
    <n v="13637"/>
    <n v="1"/>
    <s v="Y"/>
    <x v="1"/>
    <n v="18"/>
    <n v="3"/>
    <n v="4"/>
    <n v="80"/>
    <n v="3"/>
    <n v="14"/>
    <n v="6"/>
    <n v="3"/>
    <n v="14"/>
    <n v="11"/>
    <n v="2"/>
    <n v="13"/>
  </r>
  <r>
    <x v="2"/>
    <x v="1"/>
    <x v="1"/>
    <n v="1278"/>
    <x v="0"/>
    <n v="1"/>
    <n v="4"/>
    <x v="2"/>
    <x v="0"/>
    <x v="1211"/>
    <n v="3"/>
    <x v="1"/>
    <n v="31"/>
    <n v="1"/>
    <n v="2"/>
    <x v="0"/>
    <n v="4"/>
    <x v="2"/>
    <n v="9525"/>
    <n v="7677"/>
    <n v="1"/>
    <s v="Y"/>
    <x v="1"/>
    <n v="14"/>
    <n v="3"/>
    <n v="3"/>
    <n v="80"/>
    <n v="2"/>
    <n v="6"/>
    <n v="2"/>
    <n v="2"/>
    <n v="6"/>
    <n v="3"/>
    <n v="1"/>
    <n v="3"/>
  </r>
  <r>
    <x v="13"/>
    <x v="1"/>
    <x v="0"/>
    <n v="678"/>
    <x v="1"/>
    <n v="19"/>
    <n v="3"/>
    <x v="0"/>
    <x v="0"/>
    <x v="1212"/>
    <n v="2"/>
    <x v="0"/>
    <n v="35"/>
    <n v="2"/>
    <n v="1"/>
    <x v="1"/>
    <n v="4"/>
    <x v="1"/>
    <n v="2929"/>
    <n v="20338"/>
    <n v="1"/>
    <s v="Y"/>
    <x v="1"/>
    <n v="12"/>
    <n v="3"/>
    <n v="2"/>
    <n v="80"/>
    <n v="0"/>
    <n v="10"/>
    <n v="3"/>
    <n v="3"/>
    <n v="10"/>
    <n v="9"/>
    <n v="8"/>
    <n v="7"/>
  </r>
  <r>
    <x v="30"/>
    <x v="0"/>
    <x v="0"/>
    <n v="427"/>
    <x v="0"/>
    <n v="7"/>
    <n v="3"/>
    <x v="0"/>
    <x v="0"/>
    <x v="1213"/>
    <n v="3"/>
    <x v="1"/>
    <n v="99"/>
    <n v="3"/>
    <n v="1"/>
    <x v="6"/>
    <n v="4"/>
    <x v="2"/>
    <n v="2275"/>
    <n v="25103"/>
    <n v="1"/>
    <s v="Y"/>
    <x v="0"/>
    <n v="21"/>
    <n v="4"/>
    <n v="2"/>
    <n v="80"/>
    <n v="1"/>
    <n v="3"/>
    <n v="2"/>
    <n v="3"/>
    <n v="3"/>
    <n v="2"/>
    <n v="0"/>
    <n v="2"/>
  </r>
  <r>
    <x v="20"/>
    <x v="1"/>
    <x v="0"/>
    <n v="921"/>
    <x v="1"/>
    <n v="2"/>
    <n v="3"/>
    <x v="0"/>
    <x v="0"/>
    <x v="1214"/>
    <n v="3"/>
    <x v="0"/>
    <n v="96"/>
    <n v="4"/>
    <n v="3"/>
    <x v="4"/>
    <n v="4"/>
    <x v="1"/>
    <n v="7879"/>
    <n v="14810"/>
    <n v="1"/>
    <s v="Y"/>
    <x v="0"/>
    <n v="19"/>
    <n v="3"/>
    <n v="2"/>
    <n v="80"/>
    <n v="1"/>
    <n v="9"/>
    <n v="2"/>
    <n v="3"/>
    <n v="8"/>
    <n v="7"/>
    <n v="6"/>
    <n v="7"/>
  </r>
  <r>
    <x v="10"/>
    <x v="1"/>
    <x v="1"/>
    <n v="146"/>
    <x v="1"/>
    <n v="2"/>
    <n v="4"/>
    <x v="2"/>
    <x v="0"/>
    <x v="1215"/>
    <n v="1"/>
    <x v="1"/>
    <n v="79"/>
    <n v="2"/>
    <n v="1"/>
    <x v="1"/>
    <n v="4"/>
    <x v="0"/>
    <n v="4930"/>
    <n v="13970"/>
    <n v="0"/>
    <s v="Y"/>
    <x v="0"/>
    <n v="14"/>
    <n v="3"/>
    <n v="3"/>
    <n v="80"/>
    <n v="0"/>
    <n v="6"/>
    <n v="2"/>
    <n v="4"/>
    <n v="5"/>
    <n v="4"/>
    <n v="1"/>
    <n v="4"/>
  </r>
  <r>
    <x v="23"/>
    <x v="1"/>
    <x v="0"/>
    <n v="1179"/>
    <x v="0"/>
    <n v="2"/>
    <n v="3"/>
    <x v="2"/>
    <x v="0"/>
    <x v="1216"/>
    <n v="4"/>
    <x v="1"/>
    <n v="73"/>
    <n v="3"/>
    <n v="2"/>
    <x v="0"/>
    <n v="4"/>
    <x v="1"/>
    <n v="7847"/>
    <n v="6069"/>
    <n v="1"/>
    <s v="Y"/>
    <x v="0"/>
    <n v="17"/>
    <n v="3"/>
    <n v="1"/>
    <n v="80"/>
    <n v="1"/>
    <n v="10"/>
    <n v="3"/>
    <n v="3"/>
    <n v="10"/>
    <n v="9"/>
    <n v="8"/>
    <n v="8"/>
  </r>
  <r>
    <x v="17"/>
    <x v="1"/>
    <x v="0"/>
    <n v="581"/>
    <x v="1"/>
    <n v="9"/>
    <n v="3"/>
    <x v="2"/>
    <x v="0"/>
    <x v="1217"/>
    <n v="3"/>
    <x v="1"/>
    <n v="62"/>
    <n v="4"/>
    <n v="1"/>
    <x v="1"/>
    <n v="3"/>
    <x v="1"/>
    <n v="4401"/>
    <n v="17616"/>
    <n v="1"/>
    <s v="Y"/>
    <x v="1"/>
    <n v="16"/>
    <n v="3"/>
    <n v="4"/>
    <n v="80"/>
    <n v="1"/>
    <n v="5"/>
    <n v="1"/>
    <n v="3"/>
    <n v="5"/>
    <n v="3"/>
    <n v="0"/>
    <n v="4"/>
  </r>
  <r>
    <x v="0"/>
    <x v="1"/>
    <x v="0"/>
    <n v="918"/>
    <x v="0"/>
    <n v="6"/>
    <n v="3"/>
    <x v="3"/>
    <x v="0"/>
    <x v="1218"/>
    <n v="4"/>
    <x v="1"/>
    <n v="35"/>
    <n v="3"/>
    <n v="3"/>
    <x v="0"/>
    <n v="3"/>
    <x v="0"/>
    <n v="9241"/>
    <n v="15869"/>
    <n v="1"/>
    <s v="Y"/>
    <x v="1"/>
    <n v="12"/>
    <n v="3"/>
    <n v="2"/>
    <n v="80"/>
    <n v="0"/>
    <n v="10"/>
    <n v="3"/>
    <n v="3"/>
    <n v="10"/>
    <n v="8"/>
    <n v="8"/>
    <n v="7"/>
  </r>
  <r>
    <x v="11"/>
    <x v="1"/>
    <x v="0"/>
    <n v="1082"/>
    <x v="1"/>
    <n v="9"/>
    <n v="4"/>
    <x v="2"/>
    <x v="0"/>
    <x v="1219"/>
    <n v="4"/>
    <x v="0"/>
    <n v="43"/>
    <n v="3"/>
    <n v="1"/>
    <x v="2"/>
    <n v="3"/>
    <x v="1"/>
    <n v="2974"/>
    <n v="25412"/>
    <n v="9"/>
    <s v="Y"/>
    <x v="1"/>
    <n v="17"/>
    <n v="3"/>
    <n v="3"/>
    <n v="80"/>
    <n v="1"/>
    <n v="9"/>
    <n v="2"/>
    <n v="3"/>
    <n v="5"/>
    <n v="3"/>
    <n v="1"/>
    <n v="2"/>
  </r>
  <r>
    <x v="9"/>
    <x v="1"/>
    <x v="0"/>
    <n v="530"/>
    <x v="0"/>
    <n v="2"/>
    <n v="4"/>
    <x v="0"/>
    <x v="0"/>
    <x v="1220"/>
    <n v="3"/>
    <x v="0"/>
    <n v="51"/>
    <n v="3"/>
    <n v="2"/>
    <x v="6"/>
    <n v="4"/>
    <x v="0"/>
    <n v="4502"/>
    <n v="7439"/>
    <n v="3"/>
    <s v="Y"/>
    <x v="1"/>
    <n v="15"/>
    <n v="3"/>
    <n v="3"/>
    <n v="80"/>
    <n v="0"/>
    <n v="17"/>
    <n v="2"/>
    <n v="2"/>
    <n v="13"/>
    <n v="7"/>
    <n v="6"/>
    <n v="7"/>
  </r>
  <r>
    <x v="28"/>
    <x v="1"/>
    <x v="2"/>
    <n v="1238"/>
    <x v="1"/>
    <n v="1"/>
    <n v="1"/>
    <x v="0"/>
    <x v="0"/>
    <x v="1221"/>
    <n v="3"/>
    <x v="1"/>
    <n v="74"/>
    <n v="2"/>
    <n v="3"/>
    <x v="4"/>
    <n v="3"/>
    <x v="1"/>
    <n v="10748"/>
    <n v="3395"/>
    <n v="3"/>
    <s v="Y"/>
    <x v="1"/>
    <n v="23"/>
    <n v="4"/>
    <n v="4"/>
    <n v="80"/>
    <n v="1"/>
    <n v="25"/>
    <n v="3"/>
    <n v="2"/>
    <n v="23"/>
    <n v="15"/>
    <n v="14"/>
    <n v="4"/>
  </r>
  <r>
    <x v="17"/>
    <x v="0"/>
    <x v="0"/>
    <n v="240"/>
    <x v="2"/>
    <n v="22"/>
    <n v="1"/>
    <x v="5"/>
    <x v="0"/>
    <x v="1222"/>
    <n v="4"/>
    <x v="1"/>
    <n v="58"/>
    <n v="1"/>
    <n v="1"/>
    <x v="8"/>
    <n v="3"/>
    <x v="1"/>
    <n v="1555"/>
    <n v="11585"/>
    <n v="1"/>
    <s v="Y"/>
    <x v="1"/>
    <n v="11"/>
    <n v="3"/>
    <n v="3"/>
    <n v="80"/>
    <n v="1"/>
    <n v="1"/>
    <n v="2"/>
    <n v="3"/>
    <n v="1"/>
    <n v="0"/>
    <n v="0"/>
    <n v="0"/>
  </r>
  <r>
    <x v="40"/>
    <x v="0"/>
    <x v="1"/>
    <n v="1093"/>
    <x v="0"/>
    <n v="9"/>
    <n v="3"/>
    <x v="0"/>
    <x v="0"/>
    <x v="1223"/>
    <n v="3"/>
    <x v="1"/>
    <n v="82"/>
    <n v="1"/>
    <n v="4"/>
    <x v="0"/>
    <n v="3"/>
    <x v="1"/>
    <n v="12936"/>
    <n v="24164"/>
    <n v="7"/>
    <s v="Y"/>
    <x v="1"/>
    <n v="11"/>
    <n v="3"/>
    <n v="3"/>
    <n v="80"/>
    <n v="0"/>
    <n v="25"/>
    <n v="3"/>
    <n v="1"/>
    <n v="23"/>
    <n v="5"/>
    <n v="14"/>
    <n v="10"/>
  </r>
  <r>
    <x v="25"/>
    <x v="1"/>
    <x v="0"/>
    <n v="390"/>
    <x v="1"/>
    <n v="17"/>
    <n v="4"/>
    <x v="2"/>
    <x v="0"/>
    <x v="1224"/>
    <n v="4"/>
    <x v="1"/>
    <n v="62"/>
    <n v="1"/>
    <n v="1"/>
    <x v="2"/>
    <n v="3"/>
    <x v="1"/>
    <n v="2305"/>
    <n v="6217"/>
    <n v="1"/>
    <s v="Y"/>
    <x v="1"/>
    <n v="15"/>
    <n v="3"/>
    <n v="3"/>
    <n v="80"/>
    <n v="3"/>
    <n v="3"/>
    <n v="3"/>
    <n v="4"/>
    <n v="3"/>
    <n v="2"/>
    <n v="0"/>
    <n v="2"/>
  </r>
  <r>
    <x v="28"/>
    <x v="1"/>
    <x v="0"/>
    <n v="1005"/>
    <x v="1"/>
    <n v="28"/>
    <n v="2"/>
    <x v="4"/>
    <x v="0"/>
    <x v="1225"/>
    <n v="4"/>
    <x v="0"/>
    <n v="48"/>
    <n v="2"/>
    <n v="4"/>
    <x v="7"/>
    <n v="2"/>
    <x v="0"/>
    <n v="16704"/>
    <n v="17119"/>
    <n v="1"/>
    <s v="Y"/>
    <x v="1"/>
    <n v="11"/>
    <n v="3"/>
    <n v="3"/>
    <n v="80"/>
    <n v="0"/>
    <n v="21"/>
    <n v="2"/>
    <n v="3"/>
    <n v="21"/>
    <n v="6"/>
    <n v="8"/>
    <n v="6"/>
  </r>
  <r>
    <x v="5"/>
    <x v="1"/>
    <x v="1"/>
    <n v="585"/>
    <x v="1"/>
    <n v="10"/>
    <n v="3"/>
    <x v="0"/>
    <x v="0"/>
    <x v="1226"/>
    <n v="1"/>
    <x v="1"/>
    <n v="56"/>
    <n v="3"/>
    <n v="1"/>
    <x v="1"/>
    <n v="3"/>
    <x v="1"/>
    <n v="3433"/>
    <n v="17360"/>
    <n v="6"/>
    <s v="Y"/>
    <x v="1"/>
    <n v="13"/>
    <n v="3"/>
    <n v="1"/>
    <n v="80"/>
    <n v="1"/>
    <n v="10"/>
    <n v="3"/>
    <n v="2"/>
    <n v="5"/>
    <n v="2"/>
    <n v="1"/>
    <n v="3"/>
  </r>
  <r>
    <x v="12"/>
    <x v="1"/>
    <x v="0"/>
    <n v="741"/>
    <x v="1"/>
    <n v="2"/>
    <n v="4"/>
    <x v="0"/>
    <x v="0"/>
    <x v="1227"/>
    <n v="2"/>
    <x v="1"/>
    <n v="69"/>
    <n v="3"/>
    <n v="1"/>
    <x v="2"/>
    <n v="3"/>
    <x v="1"/>
    <n v="3477"/>
    <n v="18103"/>
    <n v="1"/>
    <s v="Y"/>
    <x v="1"/>
    <n v="14"/>
    <n v="3"/>
    <n v="4"/>
    <n v="80"/>
    <n v="1"/>
    <n v="6"/>
    <n v="2"/>
    <n v="4"/>
    <n v="5"/>
    <n v="2"/>
    <n v="0"/>
    <n v="3"/>
  </r>
  <r>
    <x v="0"/>
    <x v="1"/>
    <x v="2"/>
    <n v="552"/>
    <x v="2"/>
    <n v="4"/>
    <n v="3"/>
    <x v="5"/>
    <x v="0"/>
    <x v="1228"/>
    <n v="3"/>
    <x v="1"/>
    <n v="60"/>
    <n v="1"/>
    <n v="2"/>
    <x v="8"/>
    <n v="2"/>
    <x v="1"/>
    <n v="6430"/>
    <n v="20794"/>
    <n v="6"/>
    <s v="Y"/>
    <x v="1"/>
    <n v="19"/>
    <n v="3"/>
    <n v="2"/>
    <n v="80"/>
    <n v="1"/>
    <n v="10"/>
    <n v="4"/>
    <n v="3"/>
    <n v="3"/>
    <n v="2"/>
    <n v="1"/>
    <n v="2"/>
  </r>
  <r>
    <x v="32"/>
    <x v="1"/>
    <x v="0"/>
    <n v="369"/>
    <x v="1"/>
    <n v="8"/>
    <n v="2"/>
    <x v="0"/>
    <x v="0"/>
    <x v="1229"/>
    <n v="2"/>
    <x v="0"/>
    <n v="92"/>
    <n v="3"/>
    <n v="2"/>
    <x v="3"/>
    <n v="1"/>
    <x v="1"/>
    <n v="6516"/>
    <n v="5041"/>
    <n v="2"/>
    <s v="Y"/>
    <x v="0"/>
    <n v="16"/>
    <n v="3"/>
    <n v="2"/>
    <n v="80"/>
    <n v="1"/>
    <n v="18"/>
    <n v="3"/>
    <n v="3"/>
    <n v="1"/>
    <n v="0"/>
    <n v="0"/>
    <n v="0"/>
  </r>
  <r>
    <x v="17"/>
    <x v="1"/>
    <x v="0"/>
    <n v="506"/>
    <x v="1"/>
    <n v="29"/>
    <n v="1"/>
    <x v="2"/>
    <x v="0"/>
    <x v="1230"/>
    <n v="2"/>
    <x v="1"/>
    <n v="91"/>
    <n v="3"/>
    <n v="1"/>
    <x v="2"/>
    <n v="1"/>
    <x v="2"/>
    <n v="3907"/>
    <n v="3622"/>
    <n v="1"/>
    <s v="Y"/>
    <x v="1"/>
    <n v="13"/>
    <n v="3"/>
    <n v="2"/>
    <n v="80"/>
    <n v="3"/>
    <n v="6"/>
    <n v="2"/>
    <n v="4"/>
    <n v="6"/>
    <n v="2"/>
    <n v="1"/>
    <n v="2"/>
  </r>
  <r>
    <x v="21"/>
    <x v="1"/>
    <x v="0"/>
    <n v="717"/>
    <x v="1"/>
    <n v="13"/>
    <n v="4"/>
    <x v="0"/>
    <x v="0"/>
    <x v="1231"/>
    <n v="3"/>
    <x v="1"/>
    <n v="34"/>
    <n v="3"/>
    <n v="2"/>
    <x v="4"/>
    <n v="2"/>
    <x v="0"/>
    <n v="5562"/>
    <n v="9697"/>
    <n v="6"/>
    <s v="Y"/>
    <x v="1"/>
    <n v="14"/>
    <n v="3"/>
    <n v="4"/>
    <n v="80"/>
    <n v="0"/>
    <n v="19"/>
    <n v="3"/>
    <n v="3"/>
    <n v="10"/>
    <n v="7"/>
    <n v="0"/>
    <n v="9"/>
  </r>
  <r>
    <x v="10"/>
    <x v="1"/>
    <x v="0"/>
    <n v="1370"/>
    <x v="1"/>
    <n v="27"/>
    <n v="4"/>
    <x v="0"/>
    <x v="0"/>
    <x v="1232"/>
    <n v="4"/>
    <x v="1"/>
    <n v="49"/>
    <n v="3"/>
    <n v="2"/>
    <x v="3"/>
    <n v="3"/>
    <x v="1"/>
    <n v="6883"/>
    <n v="5151"/>
    <n v="2"/>
    <s v="Y"/>
    <x v="1"/>
    <n v="16"/>
    <n v="3"/>
    <n v="2"/>
    <n v="80"/>
    <n v="1"/>
    <n v="17"/>
    <n v="3"/>
    <n v="3"/>
    <n v="7"/>
    <n v="7"/>
    <n v="0"/>
    <n v="7"/>
  </r>
  <r>
    <x v="7"/>
    <x v="1"/>
    <x v="0"/>
    <n v="793"/>
    <x v="1"/>
    <n v="16"/>
    <n v="1"/>
    <x v="0"/>
    <x v="0"/>
    <x v="1233"/>
    <n v="2"/>
    <x v="1"/>
    <n v="33"/>
    <n v="3"/>
    <n v="1"/>
    <x v="1"/>
    <n v="4"/>
    <x v="1"/>
    <n v="2862"/>
    <n v="3811"/>
    <n v="1"/>
    <s v="Y"/>
    <x v="1"/>
    <n v="12"/>
    <n v="3"/>
    <n v="2"/>
    <n v="80"/>
    <n v="1"/>
    <n v="10"/>
    <n v="2"/>
    <n v="2"/>
    <n v="10"/>
    <n v="0"/>
    <n v="0"/>
    <n v="8"/>
  </r>
  <r>
    <x v="40"/>
    <x v="1"/>
    <x v="2"/>
    <n v="543"/>
    <x v="0"/>
    <n v="2"/>
    <n v="4"/>
    <x v="3"/>
    <x v="0"/>
    <x v="1234"/>
    <n v="3"/>
    <x v="1"/>
    <n v="87"/>
    <n v="3"/>
    <n v="2"/>
    <x v="0"/>
    <n v="2"/>
    <x v="1"/>
    <n v="4978"/>
    <n v="3536"/>
    <n v="7"/>
    <s v="Y"/>
    <x v="1"/>
    <n v="11"/>
    <n v="3"/>
    <n v="4"/>
    <n v="80"/>
    <n v="1"/>
    <n v="4"/>
    <n v="3"/>
    <n v="1"/>
    <n v="1"/>
    <n v="0"/>
    <n v="0"/>
    <n v="0"/>
  </r>
  <r>
    <x v="21"/>
    <x v="1"/>
    <x v="0"/>
    <n v="1277"/>
    <x v="0"/>
    <n v="2"/>
    <n v="3"/>
    <x v="0"/>
    <x v="0"/>
    <x v="1235"/>
    <n v="3"/>
    <x v="1"/>
    <n v="74"/>
    <n v="3"/>
    <n v="3"/>
    <x v="0"/>
    <n v="4"/>
    <x v="2"/>
    <n v="10368"/>
    <n v="5596"/>
    <n v="4"/>
    <s v="Y"/>
    <x v="0"/>
    <n v="12"/>
    <n v="3"/>
    <n v="2"/>
    <n v="80"/>
    <n v="1"/>
    <n v="13"/>
    <n v="5"/>
    <n v="2"/>
    <n v="10"/>
    <n v="6"/>
    <n v="0"/>
    <n v="3"/>
  </r>
  <r>
    <x v="9"/>
    <x v="0"/>
    <x v="0"/>
    <n v="1456"/>
    <x v="0"/>
    <n v="13"/>
    <n v="5"/>
    <x v="3"/>
    <x v="0"/>
    <x v="1236"/>
    <n v="2"/>
    <x v="1"/>
    <n v="96"/>
    <n v="2"/>
    <n v="2"/>
    <x v="0"/>
    <n v="1"/>
    <x v="2"/>
    <n v="6134"/>
    <n v="8658"/>
    <n v="5"/>
    <s v="Y"/>
    <x v="0"/>
    <n v="13"/>
    <n v="3"/>
    <n v="2"/>
    <n v="80"/>
    <n v="3"/>
    <n v="16"/>
    <n v="3"/>
    <n v="3"/>
    <n v="2"/>
    <n v="2"/>
    <n v="2"/>
    <n v="2"/>
  </r>
  <r>
    <x v="5"/>
    <x v="0"/>
    <x v="0"/>
    <n v="964"/>
    <x v="0"/>
    <n v="1"/>
    <n v="2"/>
    <x v="0"/>
    <x v="0"/>
    <x v="1237"/>
    <n v="1"/>
    <x v="1"/>
    <n v="34"/>
    <n v="1"/>
    <n v="2"/>
    <x v="0"/>
    <n v="2"/>
    <x v="0"/>
    <n v="6735"/>
    <n v="12147"/>
    <n v="6"/>
    <s v="Y"/>
    <x v="1"/>
    <n v="15"/>
    <n v="3"/>
    <n v="2"/>
    <n v="80"/>
    <n v="0"/>
    <n v="10"/>
    <n v="2"/>
    <n v="3"/>
    <n v="0"/>
    <n v="0"/>
    <n v="0"/>
    <n v="0"/>
  </r>
  <r>
    <x v="30"/>
    <x v="1"/>
    <x v="0"/>
    <n v="160"/>
    <x v="1"/>
    <n v="4"/>
    <n v="1"/>
    <x v="2"/>
    <x v="0"/>
    <x v="1238"/>
    <n v="3"/>
    <x v="0"/>
    <n v="51"/>
    <n v="3"/>
    <n v="1"/>
    <x v="2"/>
    <n v="2"/>
    <x v="0"/>
    <n v="3295"/>
    <n v="12862"/>
    <n v="1"/>
    <s v="Y"/>
    <x v="1"/>
    <n v="13"/>
    <n v="3"/>
    <n v="3"/>
    <n v="80"/>
    <n v="0"/>
    <n v="3"/>
    <n v="3"/>
    <n v="1"/>
    <n v="3"/>
    <n v="2"/>
    <n v="1"/>
    <n v="2"/>
  </r>
  <r>
    <x v="12"/>
    <x v="1"/>
    <x v="1"/>
    <n v="163"/>
    <x v="1"/>
    <n v="24"/>
    <n v="1"/>
    <x v="4"/>
    <x v="0"/>
    <x v="1239"/>
    <n v="4"/>
    <x v="0"/>
    <n v="30"/>
    <n v="3"/>
    <n v="2"/>
    <x v="3"/>
    <n v="4"/>
    <x v="0"/>
    <n v="5238"/>
    <n v="6670"/>
    <n v="2"/>
    <s v="Y"/>
    <x v="1"/>
    <n v="20"/>
    <n v="4"/>
    <n v="4"/>
    <n v="80"/>
    <n v="0"/>
    <n v="9"/>
    <n v="3"/>
    <n v="2"/>
    <n v="5"/>
    <n v="4"/>
    <n v="1"/>
    <n v="4"/>
  </r>
  <r>
    <x v="22"/>
    <x v="1"/>
    <x v="2"/>
    <n v="792"/>
    <x v="1"/>
    <n v="1"/>
    <n v="3"/>
    <x v="0"/>
    <x v="0"/>
    <x v="1240"/>
    <n v="4"/>
    <x v="1"/>
    <n v="77"/>
    <n v="3"/>
    <n v="2"/>
    <x v="2"/>
    <n v="4"/>
    <x v="1"/>
    <n v="6472"/>
    <n v="8989"/>
    <n v="1"/>
    <s v="Y"/>
    <x v="0"/>
    <n v="15"/>
    <n v="3"/>
    <n v="4"/>
    <n v="80"/>
    <n v="1"/>
    <n v="9"/>
    <n v="2"/>
    <n v="3"/>
    <n v="9"/>
    <n v="8"/>
    <n v="5"/>
    <n v="8"/>
  </r>
  <r>
    <x v="5"/>
    <x v="1"/>
    <x v="0"/>
    <n v="371"/>
    <x v="0"/>
    <n v="19"/>
    <n v="3"/>
    <x v="0"/>
    <x v="0"/>
    <x v="1241"/>
    <n v="4"/>
    <x v="1"/>
    <n v="80"/>
    <n v="1"/>
    <n v="3"/>
    <x v="0"/>
    <n v="3"/>
    <x v="1"/>
    <n v="9610"/>
    <n v="3840"/>
    <n v="3"/>
    <s v="Y"/>
    <x v="1"/>
    <n v="13"/>
    <n v="3"/>
    <n v="3"/>
    <n v="80"/>
    <n v="1"/>
    <n v="10"/>
    <n v="2"/>
    <n v="1"/>
    <n v="4"/>
    <n v="3"/>
    <n v="0"/>
    <n v="2"/>
  </r>
  <r>
    <x v="32"/>
    <x v="1"/>
    <x v="0"/>
    <n v="611"/>
    <x v="0"/>
    <n v="7"/>
    <n v="4"/>
    <x v="2"/>
    <x v="0"/>
    <x v="1242"/>
    <n v="2"/>
    <x v="1"/>
    <n v="88"/>
    <n v="3"/>
    <n v="5"/>
    <x v="5"/>
    <n v="2"/>
    <x v="0"/>
    <n v="19833"/>
    <n v="4349"/>
    <n v="1"/>
    <s v="Y"/>
    <x v="1"/>
    <n v="14"/>
    <n v="3"/>
    <n v="2"/>
    <n v="80"/>
    <n v="0"/>
    <n v="21"/>
    <n v="3"/>
    <n v="2"/>
    <n v="21"/>
    <n v="8"/>
    <n v="12"/>
    <n v="8"/>
  </r>
  <r>
    <x v="28"/>
    <x v="1"/>
    <x v="0"/>
    <n v="176"/>
    <x v="2"/>
    <n v="4"/>
    <n v="3"/>
    <x v="0"/>
    <x v="0"/>
    <x v="1243"/>
    <n v="3"/>
    <x v="0"/>
    <n v="56"/>
    <n v="1"/>
    <n v="3"/>
    <x v="8"/>
    <n v="3"/>
    <x v="1"/>
    <n v="9756"/>
    <n v="6595"/>
    <n v="4"/>
    <s v="Y"/>
    <x v="1"/>
    <n v="21"/>
    <n v="4"/>
    <n v="3"/>
    <n v="80"/>
    <n v="2"/>
    <n v="9"/>
    <n v="2"/>
    <n v="4"/>
    <n v="5"/>
    <n v="0"/>
    <n v="0"/>
    <n v="3"/>
  </r>
  <r>
    <x v="7"/>
    <x v="1"/>
    <x v="1"/>
    <n v="1312"/>
    <x v="1"/>
    <n v="2"/>
    <n v="4"/>
    <x v="4"/>
    <x v="0"/>
    <x v="1244"/>
    <n v="4"/>
    <x v="0"/>
    <n v="78"/>
    <n v="2"/>
    <n v="1"/>
    <x v="1"/>
    <n v="1"/>
    <x v="0"/>
    <n v="4968"/>
    <n v="26427"/>
    <n v="0"/>
    <s v="Y"/>
    <x v="1"/>
    <n v="16"/>
    <n v="3"/>
    <n v="4"/>
    <n v="80"/>
    <n v="0"/>
    <n v="10"/>
    <n v="2"/>
    <n v="3"/>
    <n v="9"/>
    <n v="7"/>
    <n v="0"/>
    <n v="7"/>
  </r>
  <r>
    <x v="17"/>
    <x v="1"/>
    <x v="1"/>
    <n v="897"/>
    <x v="2"/>
    <n v="10"/>
    <n v="3"/>
    <x v="2"/>
    <x v="0"/>
    <x v="1245"/>
    <n v="1"/>
    <x v="1"/>
    <n v="59"/>
    <n v="3"/>
    <n v="1"/>
    <x v="8"/>
    <n v="4"/>
    <x v="1"/>
    <n v="2145"/>
    <n v="2097"/>
    <n v="0"/>
    <s v="Y"/>
    <x v="1"/>
    <n v="14"/>
    <n v="3"/>
    <n v="4"/>
    <n v="80"/>
    <n v="1"/>
    <n v="3"/>
    <n v="2"/>
    <n v="3"/>
    <n v="2"/>
    <n v="2"/>
    <n v="2"/>
    <n v="1"/>
  </r>
  <r>
    <x v="7"/>
    <x v="0"/>
    <x v="1"/>
    <n v="600"/>
    <x v="2"/>
    <n v="8"/>
    <n v="3"/>
    <x v="5"/>
    <x v="0"/>
    <x v="1246"/>
    <n v="3"/>
    <x v="0"/>
    <n v="66"/>
    <n v="2"/>
    <n v="1"/>
    <x v="8"/>
    <n v="4"/>
    <x v="2"/>
    <n v="2180"/>
    <n v="9732"/>
    <n v="6"/>
    <s v="Y"/>
    <x v="1"/>
    <n v="11"/>
    <n v="3"/>
    <n v="3"/>
    <n v="80"/>
    <n v="1"/>
    <n v="6"/>
    <n v="0"/>
    <n v="2"/>
    <n v="4"/>
    <n v="2"/>
    <n v="1"/>
    <n v="2"/>
  </r>
  <r>
    <x v="12"/>
    <x v="1"/>
    <x v="0"/>
    <n v="1003"/>
    <x v="0"/>
    <n v="5"/>
    <n v="3"/>
    <x v="4"/>
    <x v="0"/>
    <x v="1247"/>
    <n v="1"/>
    <x v="1"/>
    <n v="51"/>
    <n v="3"/>
    <n v="2"/>
    <x v="0"/>
    <n v="3"/>
    <x v="1"/>
    <n v="8346"/>
    <n v="20943"/>
    <n v="1"/>
    <s v="Y"/>
    <x v="1"/>
    <n v="19"/>
    <n v="3"/>
    <n v="3"/>
    <n v="80"/>
    <n v="1"/>
    <n v="6"/>
    <n v="3"/>
    <n v="3"/>
    <n v="5"/>
    <n v="2"/>
    <n v="0"/>
    <n v="2"/>
  </r>
  <r>
    <x v="4"/>
    <x v="1"/>
    <x v="0"/>
    <n v="1054"/>
    <x v="1"/>
    <n v="8"/>
    <n v="3"/>
    <x v="2"/>
    <x v="0"/>
    <x v="1248"/>
    <n v="3"/>
    <x v="0"/>
    <n v="67"/>
    <n v="3"/>
    <n v="1"/>
    <x v="1"/>
    <n v="4"/>
    <x v="0"/>
    <n v="3445"/>
    <n v="6152"/>
    <n v="1"/>
    <s v="Y"/>
    <x v="1"/>
    <n v="11"/>
    <n v="3"/>
    <n v="3"/>
    <n v="80"/>
    <n v="0"/>
    <n v="6"/>
    <n v="5"/>
    <n v="2"/>
    <n v="6"/>
    <n v="2"/>
    <n v="1"/>
    <n v="4"/>
  </r>
  <r>
    <x v="11"/>
    <x v="0"/>
    <x v="0"/>
    <n v="428"/>
    <x v="0"/>
    <n v="9"/>
    <n v="3"/>
    <x v="3"/>
    <x v="0"/>
    <x v="1249"/>
    <n v="2"/>
    <x v="0"/>
    <n v="52"/>
    <n v="1"/>
    <n v="1"/>
    <x v="6"/>
    <n v="2"/>
    <x v="0"/>
    <n v="2760"/>
    <n v="14630"/>
    <n v="1"/>
    <s v="Y"/>
    <x v="1"/>
    <n v="13"/>
    <n v="3"/>
    <n v="3"/>
    <n v="80"/>
    <n v="0"/>
    <n v="2"/>
    <n v="3"/>
    <n v="3"/>
    <n v="2"/>
    <n v="2"/>
    <n v="2"/>
    <n v="2"/>
  </r>
  <r>
    <x v="11"/>
    <x v="1"/>
    <x v="1"/>
    <n v="461"/>
    <x v="1"/>
    <n v="1"/>
    <n v="3"/>
    <x v="0"/>
    <x v="0"/>
    <x v="1250"/>
    <n v="4"/>
    <x v="1"/>
    <n v="70"/>
    <n v="4"/>
    <n v="2"/>
    <x v="4"/>
    <n v="3"/>
    <x v="0"/>
    <n v="6294"/>
    <n v="23060"/>
    <n v="8"/>
    <s v="Y"/>
    <x v="0"/>
    <n v="12"/>
    <n v="3"/>
    <n v="4"/>
    <n v="80"/>
    <n v="0"/>
    <n v="10"/>
    <n v="5"/>
    <n v="4"/>
    <n v="3"/>
    <n v="2"/>
    <n v="0"/>
    <n v="2"/>
  </r>
  <r>
    <x v="7"/>
    <x v="1"/>
    <x v="0"/>
    <n v="979"/>
    <x v="0"/>
    <n v="15"/>
    <n v="2"/>
    <x v="3"/>
    <x v="0"/>
    <x v="1251"/>
    <n v="3"/>
    <x v="1"/>
    <n v="94"/>
    <n v="2"/>
    <n v="3"/>
    <x v="0"/>
    <n v="1"/>
    <x v="2"/>
    <n v="7140"/>
    <n v="3088"/>
    <n v="2"/>
    <s v="Y"/>
    <x v="1"/>
    <n v="11"/>
    <n v="3"/>
    <n v="1"/>
    <n v="80"/>
    <n v="1"/>
    <n v="12"/>
    <n v="2"/>
    <n v="3"/>
    <n v="7"/>
    <n v="7"/>
    <n v="1"/>
    <n v="7"/>
  </r>
  <r>
    <x v="13"/>
    <x v="1"/>
    <x v="0"/>
    <n v="181"/>
    <x v="1"/>
    <n v="2"/>
    <n v="4"/>
    <x v="2"/>
    <x v="0"/>
    <x v="1252"/>
    <n v="4"/>
    <x v="1"/>
    <n v="97"/>
    <n v="4"/>
    <n v="1"/>
    <x v="1"/>
    <n v="4"/>
    <x v="1"/>
    <n v="2932"/>
    <n v="5586"/>
    <n v="0"/>
    <s v="Y"/>
    <x v="0"/>
    <n v="14"/>
    <n v="3"/>
    <n v="1"/>
    <n v="80"/>
    <n v="3"/>
    <n v="6"/>
    <n v="3"/>
    <n v="3"/>
    <n v="5"/>
    <n v="0"/>
    <n v="1"/>
    <n v="2"/>
  </r>
  <r>
    <x v="3"/>
    <x v="1"/>
    <x v="2"/>
    <n v="1283"/>
    <x v="0"/>
    <n v="2"/>
    <n v="3"/>
    <x v="3"/>
    <x v="0"/>
    <x v="1253"/>
    <n v="4"/>
    <x v="0"/>
    <n v="62"/>
    <n v="3"/>
    <n v="2"/>
    <x v="0"/>
    <n v="2"/>
    <x v="0"/>
    <n v="5147"/>
    <n v="10697"/>
    <n v="8"/>
    <s v="Y"/>
    <x v="1"/>
    <n v="15"/>
    <n v="3"/>
    <n v="4"/>
    <n v="80"/>
    <n v="0"/>
    <n v="13"/>
    <n v="2"/>
    <n v="2"/>
    <n v="11"/>
    <n v="7"/>
    <n v="1"/>
    <n v="7"/>
  </r>
  <r>
    <x v="1"/>
    <x v="1"/>
    <x v="0"/>
    <n v="1313"/>
    <x v="0"/>
    <n v="11"/>
    <n v="4"/>
    <x v="3"/>
    <x v="0"/>
    <x v="1254"/>
    <n v="4"/>
    <x v="0"/>
    <n v="80"/>
    <n v="3"/>
    <n v="2"/>
    <x v="0"/>
    <n v="4"/>
    <x v="0"/>
    <n v="4507"/>
    <n v="8191"/>
    <n v="3"/>
    <s v="Y"/>
    <x v="1"/>
    <n v="12"/>
    <n v="3"/>
    <n v="3"/>
    <n v="80"/>
    <n v="0"/>
    <n v="8"/>
    <n v="1"/>
    <n v="4"/>
    <n v="5"/>
    <n v="1"/>
    <n v="0"/>
    <n v="4"/>
  </r>
  <r>
    <x v="3"/>
    <x v="0"/>
    <x v="0"/>
    <n v="211"/>
    <x v="0"/>
    <n v="16"/>
    <n v="3"/>
    <x v="0"/>
    <x v="0"/>
    <x v="1255"/>
    <n v="1"/>
    <x v="0"/>
    <n v="74"/>
    <n v="3"/>
    <n v="3"/>
    <x v="0"/>
    <n v="1"/>
    <x v="0"/>
    <n v="8564"/>
    <n v="10092"/>
    <n v="2"/>
    <s v="Y"/>
    <x v="0"/>
    <n v="20"/>
    <n v="4"/>
    <n v="3"/>
    <n v="80"/>
    <n v="0"/>
    <n v="11"/>
    <n v="2"/>
    <n v="2"/>
    <n v="0"/>
    <n v="0"/>
    <n v="0"/>
    <n v="0"/>
  </r>
  <r>
    <x v="8"/>
    <x v="1"/>
    <x v="1"/>
    <n v="594"/>
    <x v="1"/>
    <n v="2"/>
    <n v="2"/>
    <x v="2"/>
    <x v="0"/>
    <x v="1256"/>
    <n v="3"/>
    <x v="0"/>
    <n v="75"/>
    <n v="2"/>
    <n v="1"/>
    <x v="2"/>
    <n v="2"/>
    <x v="1"/>
    <n v="2468"/>
    <n v="15963"/>
    <n v="4"/>
    <s v="Y"/>
    <x v="1"/>
    <n v="14"/>
    <n v="3"/>
    <n v="2"/>
    <n v="80"/>
    <n v="1"/>
    <n v="9"/>
    <n v="4"/>
    <n v="2"/>
    <n v="6"/>
    <n v="1"/>
    <n v="0"/>
    <n v="5"/>
  </r>
  <r>
    <x v="12"/>
    <x v="0"/>
    <x v="0"/>
    <n v="1079"/>
    <x v="0"/>
    <n v="16"/>
    <n v="4"/>
    <x v="3"/>
    <x v="0"/>
    <x v="1257"/>
    <n v="1"/>
    <x v="1"/>
    <n v="70"/>
    <n v="3"/>
    <n v="3"/>
    <x v="0"/>
    <n v="3"/>
    <x v="1"/>
    <n v="8161"/>
    <n v="19002"/>
    <n v="2"/>
    <s v="Y"/>
    <x v="1"/>
    <n v="13"/>
    <n v="3"/>
    <n v="1"/>
    <n v="80"/>
    <n v="3"/>
    <n v="10"/>
    <n v="2"/>
    <n v="3"/>
    <n v="1"/>
    <n v="0"/>
    <n v="0"/>
    <n v="0"/>
  </r>
  <r>
    <x v="11"/>
    <x v="1"/>
    <x v="0"/>
    <n v="590"/>
    <x v="1"/>
    <n v="4"/>
    <n v="3"/>
    <x v="4"/>
    <x v="0"/>
    <x v="1258"/>
    <n v="4"/>
    <x v="0"/>
    <n v="91"/>
    <n v="2"/>
    <n v="1"/>
    <x v="1"/>
    <n v="1"/>
    <x v="2"/>
    <n v="2109"/>
    <n v="10007"/>
    <n v="1"/>
    <s v="Y"/>
    <x v="1"/>
    <n v="13"/>
    <n v="3"/>
    <n v="3"/>
    <n v="80"/>
    <n v="1"/>
    <n v="1"/>
    <n v="2"/>
    <n v="3"/>
    <n v="1"/>
    <n v="0"/>
    <n v="0"/>
    <n v="0"/>
  </r>
  <r>
    <x v="7"/>
    <x v="1"/>
    <x v="0"/>
    <n v="305"/>
    <x v="1"/>
    <n v="16"/>
    <n v="3"/>
    <x v="0"/>
    <x v="0"/>
    <x v="1259"/>
    <n v="3"/>
    <x v="1"/>
    <n v="58"/>
    <n v="4"/>
    <n v="2"/>
    <x v="4"/>
    <n v="3"/>
    <x v="1"/>
    <n v="5294"/>
    <n v="9128"/>
    <n v="3"/>
    <s v="Y"/>
    <x v="1"/>
    <n v="16"/>
    <n v="3"/>
    <n v="3"/>
    <n v="80"/>
    <n v="1"/>
    <n v="10"/>
    <n v="3"/>
    <n v="3"/>
    <n v="7"/>
    <n v="0"/>
    <n v="1"/>
    <n v="7"/>
  </r>
  <r>
    <x v="5"/>
    <x v="1"/>
    <x v="2"/>
    <n v="953"/>
    <x v="1"/>
    <n v="5"/>
    <n v="4"/>
    <x v="4"/>
    <x v="0"/>
    <x v="1260"/>
    <n v="2"/>
    <x v="1"/>
    <n v="65"/>
    <n v="3"/>
    <n v="1"/>
    <x v="1"/>
    <n v="2"/>
    <x v="0"/>
    <n v="2718"/>
    <n v="17674"/>
    <n v="2"/>
    <s v="Y"/>
    <x v="1"/>
    <n v="14"/>
    <n v="3"/>
    <n v="2"/>
    <n v="80"/>
    <n v="0"/>
    <n v="12"/>
    <n v="3"/>
    <n v="3"/>
    <n v="7"/>
    <n v="7"/>
    <n v="0"/>
    <n v="7"/>
  </r>
  <r>
    <x v="8"/>
    <x v="1"/>
    <x v="0"/>
    <n v="833"/>
    <x v="1"/>
    <n v="18"/>
    <n v="3"/>
    <x v="2"/>
    <x v="0"/>
    <x v="1261"/>
    <n v="2"/>
    <x v="1"/>
    <n v="60"/>
    <n v="1"/>
    <n v="2"/>
    <x v="4"/>
    <n v="4"/>
    <x v="1"/>
    <n v="5811"/>
    <n v="24539"/>
    <n v="3"/>
    <s v="Y"/>
    <x v="0"/>
    <n v="16"/>
    <n v="3"/>
    <n v="3"/>
    <n v="80"/>
    <n v="1"/>
    <n v="15"/>
    <n v="2"/>
    <n v="3"/>
    <n v="1"/>
    <n v="0"/>
    <n v="1"/>
    <n v="0"/>
  </r>
  <r>
    <x v="23"/>
    <x v="0"/>
    <x v="1"/>
    <n v="807"/>
    <x v="1"/>
    <n v="17"/>
    <n v="3"/>
    <x v="4"/>
    <x v="0"/>
    <x v="1262"/>
    <n v="3"/>
    <x v="1"/>
    <n v="38"/>
    <n v="2"/>
    <n v="1"/>
    <x v="1"/>
    <n v="3"/>
    <x v="1"/>
    <n v="2437"/>
    <n v="15587"/>
    <n v="9"/>
    <s v="Y"/>
    <x v="0"/>
    <n v="16"/>
    <n v="3"/>
    <n v="4"/>
    <n v="80"/>
    <n v="1"/>
    <n v="6"/>
    <n v="4"/>
    <n v="3"/>
    <n v="1"/>
    <n v="0"/>
    <n v="0"/>
    <n v="0"/>
  </r>
  <r>
    <x v="19"/>
    <x v="1"/>
    <x v="0"/>
    <n v="855"/>
    <x v="1"/>
    <n v="12"/>
    <n v="3"/>
    <x v="2"/>
    <x v="0"/>
    <x v="1263"/>
    <n v="2"/>
    <x v="1"/>
    <n v="57"/>
    <n v="3"/>
    <n v="1"/>
    <x v="2"/>
    <n v="2"/>
    <x v="2"/>
    <n v="2766"/>
    <n v="8952"/>
    <n v="8"/>
    <s v="Y"/>
    <x v="1"/>
    <n v="22"/>
    <n v="4"/>
    <n v="2"/>
    <n v="80"/>
    <n v="3"/>
    <n v="7"/>
    <n v="6"/>
    <n v="2"/>
    <n v="5"/>
    <n v="3"/>
    <n v="0"/>
    <n v="4"/>
  </r>
  <r>
    <x v="27"/>
    <x v="1"/>
    <x v="0"/>
    <n v="478"/>
    <x v="1"/>
    <n v="2"/>
    <n v="3"/>
    <x v="2"/>
    <x v="0"/>
    <x v="1264"/>
    <n v="3"/>
    <x v="1"/>
    <n v="60"/>
    <n v="2"/>
    <n v="5"/>
    <x v="7"/>
    <n v="1"/>
    <x v="1"/>
    <n v="19038"/>
    <n v="19805"/>
    <n v="8"/>
    <s v="Y"/>
    <x v="1"/>
    <n v="12"/>
    <n v="3"/>
    <n v="2"/>
    <n v="80"/>
    <n v="3"/>
    <n v="34"/>
    <n v="2"/>
    <n v="3"/>
    <n v="1"/>
    <n v="0"/>
    <n v="0"/>
    <n v="0"/>
  </r>
  <r>
    <x v="3"/>
    <x v="1"/>
    <x v="2"/>
    <n v="775"/>
    <x v="1"/>
    <n v="4"/>
    <n v="3"/>
    <x v="4"/>
    <x v="0"/>
    <x v="1265"/>
    <n v="4"/>
    <x v="1"/>
    <n v="90"/>
    <n v="3"/>
    <n v="2"/>
    <x v="1"/>
    <n v="2"/>
    <x v="2"/>
    <n v="3055"/>
    <n v="6194"/>
    <n v="5"/>
    <s v="Y"/>
    <x v="1"/>
    <n v="15"/>
    <n v="3"/>
    <n v="4"/>
    <n v="80"/>
    <n v="2"/>
    <n v="11"/>
    <n v="2"/>
    <n v="2"/>
    <n v="9"/>
    <n v="8"/>
    <n v="1"/>
    <n v="7"/>
  </r>
  <r>
    <x v="0"/>
    <x v="1"/>
    <x v="0"/>
    <n v="548"/>
    <x v="1"/>
    <n v="9"/>
    <n v="4"/>
    <x v="0"/>
    <x v="0"/>
    <x v="1266"/>
    <n v="3"/>
    <x v="1"/>
    <n v="94"/>
    <n v="3"/>
    <n v="1"/>
    <x v="2"/>
    <n v="1"/>
    <x v="2"/>
    <n v="2289"/>
    <n v="20520"/>
    <n v="1"/>
    <s v="Y"/>
    <x v="1"/>
    <n v="20"/>
    <n v="4"/>
    <n v="2"/>
    <n v="80"/>
    <n v="2"/>
    <n v="5"/>
    <n v="2"/>
    <n v="3"/>
    <n v="5"/>
    <n v="3"/>
    <n v="0"/>
    <n v="4"/>
  </r>
  <r>
    <x v="13"/>
    <x v="1"/>
    <x v="2"/>
    <n v="1375"/>
    <x v="0"/>
    <n v="10"/>
    <n v="3"/>
    <x v="0"/>
    <x v="0"/>
    <x v="1267"/>
    <n v="4"/>
    <x v="1"/>
    <n v="87"/>
    <n v="3"/>
    <n v="2"/>
    <x v="0"/>
    <n v="3"/>
    <x v="2"/>
    <n v="4001"/>
    <n v="12313"/>
    <n v="1"/>
    <s v="Y"/>
    <x v="0"/>
    <n v="14"/>
    <n v="3"/>
    <n v="3"/>
    <n v="80"/>
    <n v="1"/>
    <n v="15"/>
    <n v="3"/>
    <n v="3"/>
    <n v="15"/>
    <n v="14"/>
    <n v="0"/>
    <n v="7"/>
  </r>
  <r>
    <x v="16"/>
    <x v="1"/>
    <x v="2"/>
    <n v="661"/>
    <x v="1"/>
    <n v="1"/>
    <n v="4"/>
    <x v="2"/>
    <x v="0"/>
    <x v="1268"/>
    <n v="1"/>
    <x v="0"/>
    <n v="60"/>
    <n v="2"/>
    <n v="4"/>
    <x v="3"/>
    <n v="3"/>
    <x v="1"/>
    <n v="12965"/>
    <n v="22308"/>
    <n v="4"/>
    <s v="Y"/>
    <x v="0"/>
    <n v="20"/>
    <n v="4"/>
    <n v="4"/>
    <n v="80"/>
    <n v="3"/>
    <n v="27"/>
    <n v="2"/>
    <n v="2"/>
    <n v="3"/>
    <n v="2"/>
    <n v="0"/>
    <n v="2"/>
  </r>
  <r>
    <x v="23"/>
    <x v="1"/>
    <x v="0"/>
    <n v="244"/>
    <x v="2"/>
    <n v="2"/>
    <n v="3"/>
    <x v="0"/>
    <x v="0"/>
    <x v="1269"/>
    <n v="2"/>
    <x v="1"/>
    <n v="97"/>
    <n v="3"/>
    <n v="1"/>
    <x v="8"/>
    <n v="4"/>
    <x v="0"/>
    <n v="3539"/>
    <n v="5033"/>
    <n v="0"/>
    <s v="Y"/>
    <x v="1"/>
    <n v="13"/>
    <n v="3"/>
    <n v="2"/>
    <n v="80"/>
    <n v="0"/>
    <n v="10"/>
    <n v="5"/>
    <n v="3"/>
    <n v="9"/>
    <n v="7"/>
    <n v="1"/>
    <n v="8"/>
  </r>
  <r>
    <x v="13"/>
    <x v="1"/>
    <x v="0"/>
    <n v="511"/>
    <x v="0"/>
    <n v="3"/>
    <n v="2"/>
    <x v="0"/>
    <x v="0"/>
    <x v="1270"/>
    <n v="4"/>
    <x v="0"/>
    <n v="32"/>
    <n v="1"/>
    <n v="2"/>
    <x v="0"/>
    <n v="4"/>
    <x v="0"/>
    <n v="6029"/>
    <n v="25353"/>
    <n v="5"/>
    <s v="Y"/>
    <x v="1"/>
    <n v="12"/>
    <n v="3"/>
    <n v="1"/>
    <n v="80"/>
    <n v="0"/>
    <n v="6"/>
    <n v="3"/>
    <n v="3"/>
    <n v="2"/>
    <n v="2"/>
    <n v="2"/>
    <n v="2"/>
  </r>
  <r>
    <x v="18"/>
    <x v="0"/>
    <x v="0"/>
    <n v="337"/>
    <x v="0"/>
    <n v="7"/>
    <n v="1"/>
    <x v="3"/>
    <x v="0"/>
    <x v="1271"/>
    <n v="2"/>
    <x v="1"/>
    <n v="31"/>
    <n v="3"/>
    <n v="1"/>
    <x v="6"/>
    <n v="2"/>
    <x v="0"/>
    <n v="2679"/>
    <n v="4567"/>
    <n v="1"/>
    <s v="Y"/>
    <x v="1"/>
    <n v="13"/>
    <n v="3"/>
    <n v="2"/>
    <n v="80"/>
    <n v="0"/>
    <n v="1"/>
    <n v="3"/>
    <n v="3"/>
    <n v="1"/>
    <n v="0"/>
    <n v="1"/>
    <n v="0"/>
  </r>
  <r>
    <x v="8"/>
    <x v="1"/>
    <x v="0"/>
    <n v="1153"/>
    <x v="1"/>
    <n v="6"/>
    <n v="2"/>
    <x v="1"/>
    <x v="0"/>
    <x v="1272"/>
    <n v="4"/>
    <x v="0"/>
    <n v="40"/>
    <n v="2"/>
    <n v="1"/>
    <x v="2"/>
    <n v="3"/>
    <x v="1"/>
    <n v="3702"/>
    <n v="16376"/>
    <n v="1"/>
    <s v="Y"/>
    <x v="1"/>
    <n v="11"/>
    <n v="3"/>
    <n v="2"/>
    <n v="80"/>
    <n v="1"/>
    <n v="5"/>
    <n v="3"/>
    <n v="3"/>
    <n v="5"/>
    <n v="4"/>
    <n v="0"/>
    <n v="4"/>
  </r>
  <r>
    <x v="15"/>
    <x v="0"/>
    <x v="0"/>
    <n v="1294"/>
    <x v="1"/>
    <n v="8"/>
    <n v="1"/>
    <x v="2"/>
    <x v="0"/>
    <x v="1273"/>
    <n v="3"/>
    <x v="0"/>
    <n v="79"/>
    <n v="3"/>
    <n v="1"/>
    <x v="2"/>
    <n v="1"/>
    <x v="1"/>
    <n v="2398"/>
    <n v="15999"/>
    <n v="1"/>
    <s v="Y"/>
    <x v="0"/>
    <n v="17"/>
    <n v="3"/>
    <n v="3"/>
    <n v="80"/>
    <n v="0"/>
    <n v="1"/>
    <n v="6"/>
    <n v="3"/>
    <n v="1"/>
    <n v="0"/>
    <n v="0"/>
    <n v="0"/>
  </r>
  <r>
    <x v="12"/>
    <x v="1"/>
    <x v="0"/>
    <n v="196"/>
    <x v="0"/>
    <n v="29"/>
    <n v="4"/>
    <x v="3"/>
    <x v="0"/>
    <x v="1274"/>
    <n v="1"/>
    <x v="0"/>
    <n v="91"/>
    <n v="2"/>
    <n v="2"/>
    <x v="0"/>
    <n v="4"/>
    <x v="1"/>
    <n v="5468"/>
    <n v="13402"/>
    <n v="1"/>
    <s v="Y"/>
    <x v="1"/>
    <n v="14"/>
    <n v="3"/>
    <n v="1"/>
    <n v="80"/>
    <n v="2"/>
    <n v="13"/>
    <n v="3"/>
    <n v="3"/>
    <n v="12"/>
    <n v="7"/>
    <n v="5"/>
    <n v="7"/>
  </r>
  <r>
    <x v="31"/>
    <x v="1"/>
    <x v="0"/>
    <n v="942"/>
    <x v="1"/>
    <n v="3"/>
    <n v="3"/>
    <x v="4"/>
    <x v="0"/>
    <x v="1275"/>
    <n v="1"/>
    <x v="0"/>
    <n v="53"/>
    <n v="3"/>
    <n v="3"/>
    <x v="5"/>
    <n v="3"/>
    <x v="1"/>
    <n v="13116"/>
    <n v="22984"/>
    <n v="2"/>
    <s v="Y"/>
    <x v="1"/>
    <n v="11"/>
    <n v="3"/>
    <n v="4"/>
    <n v="80"/>
    <n v="0"/>
    <n v="15"/>
    <n v="2"/>
    <n v="3"/>
    <n v="2"/>
    <n v="2"/>
    <n v="2"/>
    <n v="2"/>
  </r>
  <r>
    <x v="2"/>
    <x v="1"/>
    <x v="0"/>
    <n v="589"/>
    <x v="0"/>
    <n v="9"/>
    <n v="2"/>
    <x v="3"/>
    <x v="0"/>
    <x v="1276"/>
    <n v="2"/>
    <x v="1"/>
    <n v="46"/>
    <n v="2"/>
    <n v="2"/>
    <x v="0"/>
    <n v="2"/>
    <x v="1"/>
    <n v="4189"/>
    <n v="8800"/>
    <n v="1"/>
    <s v="Y"/>
    <x v="1"/>
    <n v="14"/>
    <n v="3"/>
    <n v="1"/>
    <n v="80"/>
    <n v="2"/>
    <n v="5"/>
    <n v="2"/>
    <n v="3"/>
    <n v="5"/>
    <n v="2"/>
    <n v="0"/>
    <n v="3"/>
  </r>
  <r>
    <x v="21"/>
    <x v="1"/>
    <x v="0"/>
    <n v="734"/>
    <x v="1"/>
    <n v="2"/>
    <n v="4"/>
    <x v="2"/>
    <x v="0"/>
    <x v="1277"/>
    <n v="3"/>
    <x v="1"/>
    <n v="46"/>
    <n v="3"/>
    <n v="5"/>
    <x v="7"/>
    <n v="4"/>
    <x v="2"/>
    <n v="19328"/>
    <n v="14218"/>
    <n v="7"/>
    <s v="Y"/>
    <x v="0"/>
    <n v="17"/>
    <n v="3"/>
    <n v="3"/>
    <n v="80"/>
    <n v="1"/>
    <n v="24"/>
    <n v="3"/>
    <n v="3"/>
    <n v="2"/>
    <n v="1"/>
    <n v="2"/>
    <n v="2"/>
  </r>
  <r>
    <x v="9"/>
    <x v="1"/>
    <x v="0"/>
    <n v="1383"/>
    <x v="1"/>
    <n v="10"/>
    <n v="3"/>
    <x v="0"/>
    <x v="0"/>
    <x v="1278"/>
    <n v="4"/>
    <x v="1"/>
    <n v="90"/>
    <n v="3"/>
    <n v="3"/>
    <x v="4"/>
    <n v="1"/>
    <x v="1"/>
    <n v="8321"/>
    <n v="25949"/>
    <n v="7"/>
    <s v="Y"/>
    <x v="0"/>
    <n v="13"/>
    <n v="3"/>
    <n v="4"/>
    <n v="80"/>
    <n v="1"/>
    <n v="15"/>
    <n v="1"/>
    <n v="3"/>
    <n v="12"/>
    <n v="8"/>
    <n v="5"/>
    <n v="7"/>
  </r>
  <r>
    <x v="20"/>
    <x v="0"/>
    <x v="1"/>
    <n v="429"/>
    <x v="1"/>
    <n v="1"/>
    <n v="2"/>
    <x v="2"/>
    <x v="0"/>
    <x v="1279"/>
    <n v="3"/>
    <x v="1"/>
    <n v="99"/>
    <n v="3"/>
    <n v="1"/>
    <x v="1"/>
    <n v="2"/>
    <x v="2"/>
    <n v="2342"/>
    <n v="11092"/>
    <n v="1"/>
    <s v="Y"/>
    <x v="0"/>
    <n v="12"/>
    <n v="3"/>
    <n v="3"/>
    <n v="80"/>
    <n v="3"/>
    <n v="6"/>
    <n v="2"/>
    <n v="2"/>
    <n v="5"/>
    <n v="3"/>
    <n v="2"/>
    <n v="3"/>
  </r>
  <r>
    <x v="2"/>
    <x v="1"/>
    <x v="0"/>
    <n v="1239"/>
    <x v="2"/>
    <n v="8"/>
    <n v="2"/>
    <x v="1"/>
    <x v="0"/>
    <x v="1280"/>
    <n v="3"/>
    <x v="1"/>
    <n v="89"/>
    <n v="3"/>
    <n v="2"/>
    <x v="8"/>
    <n v="2"/>
    <x v="2"/>
    <n v="4071"/>
    <n v="12832"/>
    <n v="2"/>
    <s v="Y"/>
    <x v="1"/>
    <n v="13"/>
    <n v="3"/>
    <n v="3"/>
    <n v="80"/>
    <n v="0"/>
    <n v="19"/>
    <n v="4"/>
    <n v="2"/>
    <n v="10"/>
    <n v="0"/>
    <n v="4"/>
    <n v="7"/>
  </r>
  <r>
    <x v="10"/>
    <x v="0"/>
    <x v="0"/>
    <n v="303"/>
    <x v="0"/>
    <n v="27"/>
    <n v="3"/>
    <x v="0"/>
    <x v="0"/>
    <x v="1281"/>
    <n v="3"/>
    <x v="1"/>
    <n v="84"/>
    <n v="3"/>
    <n v="2"/>
    <x v="0"/>
    <n v="4"/>
    <x v="0"/>
    <n v="5813"/>
    <n v="13492"/>
    <n v="1"/>
    <s v="Y"/>
    <x v="0"/>
    <n v="18"/>
    <n v="3"/>
    <n v="4"/>
    <n v="80"/>
    <n v="0"/>
    <n v="10"/>
    <n v="2"/>
    <n v="3"/>
    <n v="10"/>
    <n v="7"/>
    <n v="7"/>
    <n v="7"/>
  </r>
  <r>
    <x v="3"/>
    <x v="1"/>
    <x v="0"/>
    <n v="867"/>
    <x v="1"/>
    <n v="8"/>
    <n v="4"/>
    <x v="0"/>
    <x v="0"/>
    <x v="1282"/>
    <n v="4"/>
    <x v="1"/>
    <n v="90"/>
    <n v="4"/>
    <n v="1"/>
    <x v="1"/>
    <n v="1"/>
    <x v="1"/>
    <n v="3143"/>
    <n v="6076"/>
    <n v="6"/>
    <s v="Y"/>
    <x v="1"/>
    <n v="19"/>
    <n v="3"/>
    <n v="2"/>
    <n v="80"/>
    <n v="1"/>
    <n v="14"/>
    <n v="1"/>
    <n v="3"/>
    <n v="10"/>
    <n v="8"/>
    <n v="7"/>
    <n v="6"/>
  </r>
  <r>
    <x v="14"/>
    <x v="1"/>
    <x v="0"/>
    <n v="1181"/>
    <x v="1"/>
    <n v="1"/>
    <n v="3"/>
    <x v="0"/>
    <x v="0"/>
    <x v="1283"/>
    <n v="3"/>
    <x v="1"/>
    <n v="82"/>
    <n v="3"/>
    <n v="1"/>
    <x v="1"/>
    <n v="4"/>
    <x v="1"/>
    <n v="2044"/>
    <n v="5531"/>
    <n v="1"/>
    <s v="Y"/>
    <x v="1"/>
    <n v="11"/>
    <n v="3"/>
    <n v="3"/>
    <n v="80"/>
    <n v="1"/>
    <n v="5"/>
    <n v="6"/>
    <n v="4"/>
    <n v="5"/>
    <n v="3"/>
    <n v="0"/>
    <n v="3"/>
  </r>
  <r>
    <x v="22"/>
    <x v="1"/>
    <x v="0"/>
    <n v="1253"/>
    <x v="1"/>
    <n v="10"/>
    <n v="1"/>
    <x v="2"/>
    <x v="0"/>
    <x v="1284"/>
    <n v="3"/>
    <x v="1"/>
    <n v="65"/>
    <n v="3"/>
    <n v="3"/>
    <x v="7"/>
    <n v="3"/>
    <x v="0"/>
    <n v="13464"/>
    <n v="7914"/>
    <n v="7"/>
    <s v="Y"/>
    <x v="1"/>
    <n v="21"/>
    <n v="4"/>
    <n v="3"/>
    <n v="80"/>
    <n v="0"/>
    <n v="9"/>
    <n v="3"/>
    <n v="3"/>
    <n v="4"/>
    <n v="3"/>
    <n v="2"/>
    <n v="2"/>
  </r>
  <r>
    <x v="21"/>
    <x v="1"/>
    <x v="2"/>
    <n v="849"/>
    <x v="0"/>
    <n v="26"/>
    <n v="2"/>
    <x v="0"/>
    <x v="0"/>
    <x v="1285"/>
    <n v="2"/>
    <x v="1"/>
    <n v="98"/>
    <n v="2"/>
    <n v="2"/>
    <x v="0"/>
    <n v="2"/>
    <x v="0"/>
    <n v="7991"/>
    <n v="25166"/>
    <n v="8"/>
    <s v="Y"/>
    <x v="1"/>
    <n v="15"/>
    <n v="3"/>
    <n v="3"/>
    <n v="80"/>
    <n v="0"/>
    <n v="6"/>
    <n v="3"/>
    <n v="3"/>
    <n v="2"/>
    <n v="2"/>
    <n v="2"/>
    <n v="2"/>
  </r>
  <r>
    <x v="32"/>
    <x v="1"/>
    <x v="0"/>
    <n v="616"/>
    <x v="1"/>
    <n v="2"/>
    <n v="2"/>
    <x v="0"/>
    <x v="0"/>
    <x v="1286"/>
    <n v="3"/>
    <x v="0"/>
    <n v="99"/>
    <n v="3"/>
    <n v="1"/>
    <x v="2"/>
    <n v="1"/>
    <x v="1"/>
    <n v="3377"/>
    <n v="25605"/>
    <n v="4"/>
    <s v="Y"/>
    <x v="1"/>
    <n v="17"/>
    <n v="3"/>
    <n v="4"/>
    <n v="80"/>
    <n v="1"/>
    <n v="7"/>
    <n v="5"/>
    <n v="2"/>
    <n v="4"/>
    <n v="3"/>
    <n v="0"/>
    <n v="2"/>
  </r>
  <r>
    <x v="19"/>
    <x v="1"/>
    <x v="0"/>
    <n v="1128"/>
    <x v="1"/>
    <n v="13"/>
    <n v="3"/>
    <x v="2"/>
    <x v="0"/>
    <x v="1287"/>
    <n v="2"/>
    <x v="1"/>
    <n v="95"/>
    <n v="4"/>
    <n v="2"/>
    <x v="4"/>
    <n v="1"/>
    <x v="1"/>
    <n v="5538"/>
    <n v="5696"/>
    <n v="5"/>
    <s v="Y"/>
    <x v="1"/>
    <n v="18"/>
    <n v="3"/>
    <n v="3"/>
    <n v="80"/>
    <n v="2"/>
    <n v="10"/>
    <n v="2"/>
    <n v="2"/>
    <n v="0"/>
    <n v="0"/>
    <n v="0"/>
    <n v="0"/>
  </r>
  <r>
    <x v="10"/>
    <x v="1"/>
    <x v="2"/>
    <n v="1180"/>
    <x v="1"/>
    <n v="2"/>
    <n v="2"/>
    <x v="2"/>
    <x v="0"/>
    <x v="1288"/>
    <n v="2"/>
    <x v="1"/>
    <n v="90"/>
    <n v="3"/>
    <n v="2"/>
    <x v="3"/>
    <n v="4"/>
    <x v="2"/>
    <n v="5762"/>
    <n v="24442"/>
    <n v="2"/>
    <s v="Y"/>
    <x v="1"/>
    <n v="14"/>
    <n v="3"/>
    <n v="3"/>
    <n v="80"/>
    <n v="1"/>
    <n v="15"/>
    <n v="6"/>
    <n v="3"/>
    <n v="7"/>
    <n v="7"/>
    <n v="1"/>
    <n v="7"/>
  </r>
  <r>
    <x v="8"/>
    <x v="1"/>
    <x v="2"/>
    <n v="1336"/>
    <x v="2"/>
    <n v="2"/>
    <n v="3"/>
    <x v="5"/>
    <x v="0"/>
    <x v="1289"/>
    <n v="1"/>
    <x v="1"/>
    <n v="100"/>
    <n v="3"/>
    <n v="1"/>
    <x v="8"/>
    <n v="2"/>
    <x v="2"/>
    <n v="2592"/>
    <n v="7129"/>
    <n v="5"/>
    <s v="Y"/>
    <x v="1"/>
    <n v="13"/>
    <n v="3"/>
    <n v="4"/>
    <n v="80"/>
    <n v="3"/>
    <n v="13"/>
    <n v="3"/>
    <n v="3"/>
    <n v="11"/>
    <n v="10"/>
    <n v="3"/>
    <n v="8"/>
  </r>
  <r>
    <x v="13"/>
    <x v="0"/>
    <x v="1"/>
    <n v="234"/>
    <x v="1"/>
    <n v="9"/>
    <n v="4"/>
    <x v="0"/>
    <x v="0"/>
    <x v="1290"/>
    <n v="4"/>
    <x v="1"/>
    <n v="93"/>
    <n v="3"/>
    <n v="2"/>
    <x v="2"/>
    <n v="1"/>
    <x v="1"/>
    <n v="5346"/>
    <n v="6208"/>
    <n v="4"/>
    <s v="Y"/>
    <x v="1"/>
    <n v="17"/>
    <n v="3"/>
    <n v="3"/>
    <n v="80"/>
    <n v="1"/>
    <n v="11"/>
    <n v="3"/>
    <n v="2"/>
    <n v="7"/>
    <n v="1"/>
    <n v="0"/>
    <n v="7"/>
  </r>
  <r>
    <x v="2"/>
    <x v="0"/>
    <x v="0"/>
    <n v="370"/>
    <x v="1"/>
    <n v="10"/>
    <n v="4"/>
    <x v="2"/>
    <x v="0"/>
    <x v="1291"/>
    <n v="4"/>
    <x v="1"/>
    <n v="58"/>
    <n v="3"/>
    <n v="2"/>
    <x v="3"/>
    <n v="1"/>
    <x v="0"/>
    <n v="4213"/>
    <n v="4992"/>
    <n v="1"/>
    <s v="Y"/>
    <x v="1"/>
    <n v="15"/>
    <n v="3"/>
    <n v="2"/>
    <n v="80"/>
    <n v="0"/>
    <n v="10"/>
    <n v="4"/>
    <n v="1"/>
    <n v="10"/>
    <n v="3"/>
    <n v="0"/>
    <n v="8"/>
  </r>
  <r>
    <x v="22"/>
    <x v="1"/>
    <x v="1"/>
    <n v="766"/>
    <x v="0"/>
    <n v="20"/>
    <n v="3"/>
    <x v="0"/>
    <x v="0"/>
    <x v="1292"/>
    <n v="3"/>
    <x v="1"/>
    <n v="83"/>
    <n v="3"/>
    <n v="2"/>
    <x v="0"/>
    <n v="4"/>
    <x v="2"/>
    <n v="4127"/>
    <n v="19188"/>
    <n v="2"/>
    <s v="Y"/>
    <x v="1"/>
    <n v="18"/>
    <n v="3"/>
    <n v="4"/>
    <n v="80"/>
    <n v="1"/>
    <n v="7"/>
    <n v="6"/>
    <n v="3"/>
    <n v="2"/>
    <n v="1"/>
    <n v="2"/>
    <n v="2"/>
  </r>
  <r>
    <x v="23"/>
    <x v="1"/>
    <x v="2"/>
    <n v="343"/>
    <x v="1"/>
    <n v="9"/>
    <n v="3"/>
    <x v="0"/>
    <x v="0"/>
    <x v="1293"/>
    <n v="1"/>
    <x v="1"/>
    <n v="52"/>
    <n v="3"/>
    <n v="1"/>
    <x v="1"/>
    <n v="3"/>
    <x v="0"/>
    <n v="2438"/>
    <n v="24978"/>
    <n v="4"/>
    <s v="Y"/>
    <x v="1"/>
    <n v="13"/>
    <n v="3"/>
    <n v="3"/>
    <n v="80"/>
    <n v="0"/>
    <n v="7"/>
    <n v="2"/>
    <n v="2"/>
    <n v="3"/>
    <n v="2"/>
    <n v="1"/>
    <n v="2"/>
  </r>
  <r>
    <x v="0"/>
    <x v="1"/>
    <x v="0"/>
    <n v="447"/>
    <x v="1"/>
    <n v="5"/>
    <n v="3"/>
    <x v="0"/>
    <x v="0"/>
    <x v="1294"/>
    <n v="2"/>
    <x v="1"/>
    <n v="85"/>
    <n v="4"/>
    <n v="2"/>
    <x v="4"/>
    <n v="2"/>
    <x v="0"/>
    <n v="6870"/>
    <n v="15530"/>
    <n v="3"/>
    <s v="Y"/>
    <x v="1"/>
    <n v="12"/>
    <n v="3"/>
    <n v="1"/>
    <n v="80"/>
    <n v="0"/>
    <n v="11"/>
    <n v="3"/>
    <n v="1"/>
    <n v="3"/>
    <n v="2"/>
    <n v="1"/>
    <n v="2"/>
  </r>
  <r>
    <x v="0"/>
    <x v="1"/>
    <x v="0"/>
    <n v="796"/>
    <x v="0"/>
    <n v="4"/>
    <n v="1"/>
    <x v="3"/>
    <x v="0"/>
    <x v="1295"/>
    <n v="3"/>
    <x v="0"/>
    <n v="81"/>
    <n v="3"/>
    <n v="3"/>
    <x v="0"/>
    <n v="3"/>
    <x v="2"/>
    <n v="10447"/>
    <n v="26458"/>
    <n v="0"/>
    <s v="Y"/>
    <x v="0"/>
    <n v="13"/>
    <n v="3"/>
    <n v="4"/>
    <n v="80"/>
    <n v="1"/>
    <n v="23"/>
    <n v="3"/>
    <n v="4"/>
    <n v="22"/>
    <n v="14"/>
    <n v="13"/>
    <n v="5"/>
  </r>
  <r>
    <x v="7"/>
    <x v="1"/>
    <x v="0"/>
    <n v="1092"/>
    <x v="1"/>
    <n v="10"/>
    <n v="3"/>
    <x v="2"/>
    <x v="0"/>
    <x v="1296"/>
    <n v="1"/>
    <x v="0"/>
    <n v="64"/>
    <n v="3"/>
    <n v="3"/>
    <x v="3"/>
    <n v="3"/>
    <x v="0"/>
    <n v="9667"/>
    <n v="2739"/>
    <n v="9"/>
    <s v="Y"/>
    <x v="1"/>
    <n v="14"/>
    <n v="3"/>
    <n v="2"/>
    <n v="80"/>
    <n v="0"/>
    <n v="9"/>
    <n v="3"/>
    <n v="3"/>
    <n v="7"/>
    <n v="7"/>
    <n v="0"/>
    <n v="2"/>
  </r>
  <r>
    <x v="25"/>
    <x v="0"/>
    <x v="0"/>
    <n v="920"/>
    <x v="2"/>
    <n v="20"/>
    <n v="2"/>
    <x v="2"/>
    <x v="0"/>
    <x v="1297"/>
    <n v="4"/>
    <x v="0"/>
    <n v="69"/>
    <n v="3"/>
    <n v="1"/>
    <x v="8"/>
    <n v="2"/>
    <x v="1"/>
    <n v="2148"/>
    <n v="6889"/>
    <n v="0"/>
    <s v="Y"/>
    <x v="0"/>
    <n v="11"/>
    <n v="3"/>
    <n v="3"/>
    <n v="80"/>
    <n v="0"/>
    <n v="6"/>
    <n v="3"/>
    <n v="3"/>
    <n v="5"/>
    <n v="1"/>
    <n v="1"/>
    <n v="4"/>
  </r>
  <r>
    <x v="21"/>
    <x v="0"/>
    <x v="0"/>
    <n v="261"/>
    <x v="1"/>
    <n v="21"/>
    <n v="2"/>
    <x v="2"/>
    <x v="0"/>
    <x v="1298"/>
    <n v="4"/>
    <x v="0"/>
    <n v="66"/>
    <n v="3"/>
    <n v="2"/>
    <x v="4"/>
    <n v="2"/>
    <x v="1"/>
    <n v="8926"/>
    <n v="10842"/>
    <n v="4"/>
    <s v="Y"/>
    <x v="1"/>
    <n v="22"/>
    <n v="4"/>
    <n v="4"/>
    <n v="80"/>
    <n v="1"/>
    <n v="13"/>
    <n v="2"/>
    <n v="4"/>
    <n v="9"/>
    <n v="7"/>
    <n v="3"/>
    <n v="7"/>
  </r>
  <r>
    <x v="32"/>
    <x v="1"/>
    <x v="0"/>
    <n v="1194"/>
    <x v="1"/>
    <n v="1"/>
    <n v="3"/>
    <x v="0"/>
    <x v="0"/>
    <x v="1299"/>
    <n v="3"/>
    <x v="0"/>
    <n v="52"/>
    <n v="3"/>
    <n v="2"/>
    <x v="4"/>
    <n v="4"/>
    <x v="2"/>
    <n v="6513"/>
    <n v="9060"/>
    <n v="4"/>
    <s v="Y"/>
    <x v="1"/>
    <n v="17"/>
    <n v="3"/>
    <n v="4"/>
    <n v="80"/>
    <n v="1"/>
    <n v="12"/>
    <n v="3"/>
    <n v="3"/>
    <n v="5"/>
    <n v="3"/>
    <n v="0"/>
    <n v="3"/>
  </r>
  <r>
    <x v="13"/>
    <x v="1"/>
    <x v="0"/>
    <n v="810"/>
    <x v="0"/>
    <n v="8"/>
    <n v="2"/>
    <x v="4"/>
    <x v="0"/>
    <x v="1300"/>
    <n v="2"/>
    <x v="1"/>
    <n v="92"/>
    <n v="4"/>
    <n v="2"/>
    <x v="0"/>
    <n v="3"/>
    <x v="1"/>
    <n v="6799"/>
    <n v="22128"/>
    <n v="1"/>
    <s v="Y"/>
    <x v="1"/>
    <n v="21"/>
    <n v="4"/>
    <n v="3"/>
    <n v="80"/>
    <n v="2"/>
    <n v="10"/>
    <n v="5"/>
    <n v="3"/>
    <n v="10"/>
    <n v="8"/>
    <n v="4"/>
    <n v="8"/>
  </r>
  <r>
    <x v="34"/>
    <x v="1"/>
    <x v="2"/>
    <n v="350"/>
    <x v="0"/>
    <n v="2"/>
    <n v="3"/>
    <x v="2"/>
    <x v="0"/>
    <x v="1301"/>
    <n v="2"/>
    <x v="1"/>
    <n v="52"/>
    <n v="3"/>
    <n v="4"/>
    <x v="5"/>
    <n v="2"/>
    <x v="2"/>
    <n v="16291"/>
    <n v="22577"/>
    <n v="4"/>
    <s v="Y"/>
    <x v="1"/>
    <n v="22"/>
    <n v="4"/>
    <n v="4"/>
    <n v="80"/>
    <n v="1"/>
    <n v="37"/>
    <n v="0"/>
    <n v="2"/>
    <n v="16"/>
    <n v="9"/>
    <n v="14"/>
    <n v="14"/>
  </r>
  <r>
    <x v="10"/>
    <x v="1"/>
    <x v="0"/>
    <n v="185"/>
    <x v="1"/>
    <n v="23"/>
    <n v="4"/>
    <x v="2"/>
    <x v="0"/>
    <x v="1302"/>
    <n v="2"/>
    <x v="1"/>
    <n v="91"/>
    <n v="1"/>
    <n v="1"/>
    <x v="2"/>
    <n v="3"/>
    <x v="1"/>
    <n v="2705"/>
    <n v="9696"/>
    <n v="0"/>
    <s v="Y"/>
    <x v="1"/>
    <n v="16"/>
    <n v="3"/>
    <n v="2"/>
    <n v="80"/>
    <n v="1"/>
    <n v="6"/>
    <n v="2"/>
    <n v="4"/>
    <n v="5"/>
    <n v="4"/>
    <n v="0"/>
    <n v="3"/>
  </r>
  <r>
    <x v="40"/>
    <x v="1"/>
    <x v="0"/>
    <n v="1001"/>
    <x v="1"/>
    <n v="4"/>
    <n v="3"/>
    <x v="0"/>
    <x v="0"/>
    <x v="1303"/>
    <n v="3"/>
    <x v="0"/>
    <n v="92"/>
    <n v="2"/>
    <n v="3"/>
    <x v="3"/>
    <n v="2"/>
    <x v="2"/>
    <n v="10333"/>
    <n v="19271"/>
    <n v="8"/>
    <s v="Y"/>
    <x v="0"/>
    <n v="12"/>
    <n v="3"/>
    <n v="3"/>
    <n v="80"/>
    <n v="1"/>
    <n v="28"/>
    <n v="4"/>
    <n v="3"/>
    <n v="22"/>
    <n v="11"/>
    <n v="14"/>
    <n v="10"/>
  </r>
  <r>
    <x v="32"/>
    <x v="1"/>
    <x v="0"/>
    <n v="750"/>
    <x v="1"/>
    <n v="12"/>
    <n v="3"/>
    <x v="0"/>
    <x v="0"/>
    <x v="1304"/>
    <n v="2"/>
    <x v="0"/>
    <n v="47"/>
    <n v="3"/>
    <n v="2"/>
    <x v="4"/>
    <n v="1"/>
    <x v="2"/>
    <n v="4448"/>
    <n v="10748"/>
    <n v="2"/>
    <s v="Y"/>
    <x v="1"/>
    <n v="12"/>
    <n v="3"/>
    <n v="2"/>
    <n v="80"/>
    <n v="1"/>
    <n v="15"/>
    <n v="3"/>
    <n v="3"/>
    <n v="7"/>
    <n v="4"/>
    <n v="7"/>
    <n v="7"/>
  </r>
  <r>
    <x v="33"/>
    <x v="1"/>
    <x v="0"/>
    <n v="431"/>
    <x v="1"/>
    <n v="7"/>
    <n v="4"/>
    <x v="2"/>
    <x v="0"/>
    <x v="1305"/>
    <n v="4"/>
    <x v="0"/>
    <n v="68"/>
    <n v="3"/>
    <n v="2"/>
    <x v="1"/>
    <n v="4"/>
    <x v="1"/>
    <n v="6854"/>
    <n v="15696"/>
    <n v="4"/>
    <s v="Y"/>
    <x v="1"/>
    <n v="15"/>
    <n v="3"/>
    <n v="2"/>
    <n v="80"/>
    <n v="1"/>
    <n v="14"/>
    <n v="2"/>
    <n v="2"/>
    <n v="7"/>
    <n v="1"/>
    <n v="1"/>
    <n v="7"/>
  </r>
  <r>
    <x v="12"/>
    <x v="1"/>
    <x v="1"/>
    <n v="1125"/>
    <x v="0"/>
    <n v="7"/>
    <n v="4"/>
    <x v="3"/>
    <x v="0"/>
    <x v="1306"/>
    <n v="1"/>
    <x v="0"/>
    <n v="68"/>
    <n v="3"/>
    <n v="3"/>
    <x v="0"/>
    <n v="1"/>
    <x v="1"/>
    <n v="9637"/>
    <n v="8277"/>
    <n v="2"/>
    <s v="Y"/>
    <x v="1"/>
    <n v="14"/>
    <n v="3"/>
    <n v="4"/>
    <n v="80"/>
    <n v="2"/>
    <n v="9"/>
    <n v="3"/>
    <n v="3"/>
    <n v="3"/>
    <n v="2"/>
    <n v="2"/>
    <n v="2"/>
  </r>
  <r>
    <x v="14"/>
    <x v="1"/>
    <x v="0"/>
    <n v="1217"/>
    <x v="1"/>
    <n v="1"/>
    <n v="3"/>
    <x v="2"/>
    <x v="0"/>
    <x v="1307"/>
    <n v="3"/>
    <x v="0"/>
    <n v="67"/>
    <n v="3"/>
    <n v="1"/>
    <x v="1"/>
    <n v="1"/>
    <x v="1"/>
    <n v="3591"/>
    <n v="12719"/>
    <n v="1"/>
    <s v="Y"/>
    <x v="1"/>
    <n v="25"/>
    <n v="4"/>
    <n v="3"/>
    <n v="80"/>
    <n v="1"/>
    <n v="3"/>
    <n v="3"/>
    <n v="3"/>
    <n v="3"/>
    <n v="2"/>
    <n v="1"/>
    <n v="2"/>
  </r>
  <r>
    <x v="8"/>
    <x v="1"/>
    <x v="0"/>
    <n v="723"/>
    <x v="0"/>
    <n v="2"/>
    <n v="4"/>
    <x v="3"/>
    <x v="0"/>
    <x v="1308"/>
    <n v="2"/>
    <x v="0"/>
    <n v="77"/>
    <n v="1"/>
    <n v="2"/>
    <x v="6"/>
    <n v="4"/>
    <x v="1"/>
    <n v="5405"/>
    <n v="4244"/>
    <n v="2"/>
    <s v="Y"/>
    <x v="0"/>
    <n v="20"/>
    <n v="4"/>
    <n v="1"/>
    <n v="80"/>
    <n v="2"/>
    <n v="20"/>
    <n v="4"/>
    <n v="2"/>
    <n v="4"/>
    <n v="2"/>
    <n v="0"/>
    <n v="3"/>
  </r>
  <r>
    <x v="25"/>
    <x v="1"/>
    <x v="0"/>
    <n v="572"/>
    <x v="0"/>
    <n v="10"/>
    <n v="3"/>
    <x v="2"/>
    <x v="0"/>
    <x v="1309"/>
    <n v="3"/>
    <x v="1"/>
    <n v="46"/>
    <n v="3"/>
    <n v="2"/>
    <x v="0"/>
    <n v="4"/>
    <x v="0"/>
    <n v="4684"/>
    <n v="9125"/>
    <n v="1"/>
    <s v="Y"/>
    <x v="1"/>
    <n v="13"/>
    <n v="3"/>
    <n v="1"/>
    <n v="80"/>
    <n v="0"/>
    <n v="5"/>
    <n v="4"/>
    <n v="3"/>
    <n v="5"/>
    <n v="3"/>
    <n v="1"/>
    <n v="2"/>
  </r>
  <r>
    <x v="34"/>
    <x v="1"/>
    <x v="1"/>
    <n v="1216"/>
    <x v="1"/>
    <n v="15"/>
    <n v="4"/>
    <x v="0"/>
    <x v="0"/>
    <x v="1310"/>
    <n v="1"/>
    <x v="1"/>
    <n v="87"/>
    <n v="3"/>
    <n v="4"/>
    <x v="7"/>
    <n v="3"/>
    <x v="1"/>
    <n v="15787"/>
    <n v="21624"/>
    <n v="2"/>
    <s v="Y"/>
    <x v="0"/>
    <n v="14"/>
    <n v="3"/>
    <n v="2"/>
    <n v="80"/>
    <n v="0"/>
    <n v="23"/>
    <n v="3"/>
    <n v="3"/>
    <n v="2"/>
    <n v="2"/>
    <n v="2"/>
    <n v="2"/>
  </r>
  <r>
    <x v="41"/>
    <x v="1"/>
    <x v="2"/>
    <n v="1431"/>
    <x v="1"/>
    <n v="14"/>
    <n v="3"/>
    <x v="2"/>
    <x v="0"/>
    <x v="1311"/>
    <n v="2"/>
    <x v="0"/>
    <n v="33"/>
    <n v="3"/>
    <n v="1"/>
    <x v="1"/>
    <n v="3"/>
    <x v="0"/>
    <n v="1514"/>
    <n v="8018"/>
    <n v="1"/>
    <s v="Y"/>
    <x v="1"/>
    <n v="16"/>
    <n v="3"/>
    <n v="3"/>
    <n v="80"/>
    <n v="0"/>
    <n v="0"/>
    <n v="4"/>
    <n v="1"/>
    <n v="0"/>
    <n v="0"/>
    <n v="0"/>
    <n v="0"/>
  </r>
  <r>
    <x v="12"/>
    <x v="0"/>
    <x v="0"/>
    <n v="359"/>
    <x v="2"/>
    <n v="18"/>
    <n v="5"/>
    <x v="5"/>
    <x v="0"/>
    <x v="1312"/>
    <n v="4"/>
    <x v="1"/>
    <n v="89"/>
    <n v="4"/>
    <n v="1"/>
    <x v="8"/>
    <n v="1"/>
    <x v="1"/>
    <n v="2956"/>
    <n v="21495"/>
    <n v="0"/>
    <s v="Y"/>
    <x v="1"/>
    <n v="17"/>
    <n v="3"/>
    <n v="3"/>
    <n v="80"/>
    <n v="0"/>
    <n v="2"/>
    <n v="4"/>
    <n v="3"/>
    <n v="1"/>
    <n v="0"/>
    <n v="0"/>
    <n v="0"/>
  </r>
  <r>
    <x v="11"/>
    <x v="0"/>
    <x v="0"/>
    <n v="350"/>
    <x v="2"/>
    <n v="13"/>
    <n v="3"/>
    <x v="5"/>
    <x v="0"/>
    <x v="1313"/>
    <n v="1"/>
    <x v="1"/>
    <n v="56"/>
    <n v="2"/>
    <n v="1"/>
    <x v="8"/>
    <n v="1"/>
    <x v="2"/>
    <n v="2335"/>
    <n v="3157"/>
    <n v="4"/>
    <s v="Y"/>
    <x v="0"/>
    <n v="15"/>
    <n v="3"/>
    <n v="4"/>
    <n v="80"/>
    <n v="3"/>
    <n v="4"/>
    <n v="3"/>
    <n v="3"/>
    <n v="2"/>
    <n v="2"/>
    <n v="2"/>
    <n v="0"/>
  </r>
  <r>
    <x v="28"/>
    <x v="1"/>
    <x v="2"/>
    <n v="589"/>
    <x v="0"/>
    <n v="2"/>
    <n v="4"/>
    <x v="0"/>
    <x v="0"/>
    <x v="1314"/>
    <n v="3"/>
    <x v="0"/>
    <n v="67"/>
    <n v="3"/>
    <n v="2"/>
    <x v="0"/>
    <n v="3"/>
    <x v="1"/>
    <n v="5154"/>
    <n v="19665"/>
    <n v="4"/>
    <s v="Y"/>
    <x v="1"/>
    <n v="22"/>
    <n v="4"/>
    <n v="2"/>
    <n v="80"/>
    <n v="2"/>
    <n v="10"/>
    <n v="3"/>
    <n v="4"/>
    <n v="8"/>
    <n v="7"/>
    <n v="5"/>
    <n v="7"/>
  </r>
  <r>
    <x v="9"/>
    <x v="1"/>
    <x v="0"/>
    <n v="430"/>
    <x v="1"/>
    <n v="2"/>
    <n v="4"/>
    <x v="1"/>
    <x v="0"/>
    <x v="1315"/>
    <n v="4"/>
    <x v="0"/>
    <n v="73"/>
    <n v="3"/>
    <n v="2"/>
    <x v="1"/>
    <n v="2"/>
    <x v="1"/>
    <n v="6962"/>
    <n v="19573"/>
    <n v="4"/>
    <s v="Y"/>
    <x v="0"/>
    <n v="22"/>
    <n v="4"/>
    <n v="4"/>
    <n v="80"/>
    <n v="1"/>
    <n v="15"/>
    <n v="2"/>
    <n v="3"/>
    <n v="1"/>
    <n v="0"/>
    <n v="0"/>
    <n v="0"/>
  </r>
  <r>
    <x v="23"/>
    <x v="1"/>
    <x v="1"/>
    <n v="1422"/>
    <x v="0"/>
    <n v="2"/>
    <n v="4"/>
    <x v="0"/>
    <x v="0"/>
    <x v="1316"/>
    <n v="1"/>
    <x v="1"/>
    <n v="92"/>
    <n v="3"/>
    <n v="2"/>
    <x v="0"/>
    <n v="4"/>
    <x v="1"/>
    <n v="5675"/>
    <n v="19246"/>
    <n v="1"/>
    <s v="Y"/>
    <x v="1"/>
    <n v="20"/>
    <n v="4"/>
    <n v="3"/>
    <n v="80"/>
    <n v="1"/>
    <n v="7"/>
    <n v="5"/>
    <n v="3"/>
    <n v="7"/>
    <n v="7"/>
    <n v="7"/>
    <n v="7"/>
  </r>
  <r>
    <x v="4"/>
    <x v="1"/>
    <x v="1"/>
    <n v="1297"/>
    <x v="1"/>
    <n v="5"/>
    <n v="2"/>
    <x v="0"/>
    <x v="0"/>
    <x v="1317"/>
    <n v="4"/>
    <x v="0"/>
    <n v="53"/>
    <n v="3"/>
    <n v="1"/>
    <x v="2"/>
    <n v="4"/>
    <x v="0"/>
    <n v="2379"/>
    <n v="19826"/>
    <n v="0"/>
    <s v="Y"/>
    <x v="0"/>
    <n v="14"/>
    <n v="3"/>
    <n v="3"/>
    <n v="80"/>
    <n v="0"/>
    <n v="6"/>
    <n v="3"/>
    <n v="2"/>
    <n v="5"/>
    <n v="4"/>
    <n v="0"/>
    <n v="2"/>
  </r>
  <r>
    <x v="11"/>
    <x v="1"/>
    <x v="1"/>
    <n v="574"/>
    <x v="1"/>
    <n v="20"/>
    <n v="1"/>
    <x v="2"/>
    <x v="0"/>
    <x v="1318"/>
    <n v="4"/>
    <x v="1"/>
    <n v="40"/>
    <n v="3"/>
    <n v="1"/>
    <x v="2"/>
    <n v="4"/>
    <x v="1"/>
    <n v="3812"/>
    <n v="7003"/>
    <n v="1"/>
    <s v="Y"/>
    <x v="1"/>
    <n v="13"/>
    <n v="3"/>
    <n v="2"/>
    <n v="80"/>
    <n v="0"/>
    <n v="11"/>
    <n v="3"/>
    <n v="4"/>
    <n v="11"/>
    <n v="8"/>
    <n v="3"/>
    <n v="10"/>
  </r>
  <r>
    <x v="5"/>
    <x v="1"/>
    <x v="1"/>
    <n v="1318"/>
    <x v="0"/>
    <n v="10"/>
    <n v="4"/>
    <x v="3"/>
    <x v="0"/>
    <x v="1319"/>
    <n v="4"/>
    <x v="1"/>
    <n v="79"/>
    <n v="3"/>
    <n v="2"/>
    <x v="0"/>
    <n v="4"/>
    <x v="0"/>
    <n v="4648"/>
    <n v="26075"/>
    <n v="8"/>
    <s v="Y"/>
    <x v="1"/>
    <n v="13"/>
    <n v="3"/>
    <n v="3"/>
    <n v="80"/>
    <n v="0"/>
    <n v="4"/>
    <n v="2"/>
    <n v="4"/>
    <n v="0"/>
    <n v="0"/>
    <n v="0"/>
    <n v="0"/>
  </r>
  <r>
    <x v="19"/>
    <x v="1"/>
    <x v="2"/>
    <n v="355"/>
    <x v="1"/>
    <n v="10"/>
    <n v="4"/>
    <x v="4"/>
    <x v="0"/>
    <x v="1320"/>
    <n v="3"/>
    <x v="1"/>
    <n v="38"/>
    <n v="3"/>
    <n v="1"/>
    <x v="1"/>
    <n v="3"/>
    <x v="1"/>
    <n v="2936"/>
    <n v="6161"/>
    <n v="3"/>
    <s v="Y"/>
    <x v="1"/>
    <n v="22"/>
    <n v="4"/>
    <n v="2"/>
    <n v="80"/>
    <n v="2"/>
    <n v="10"/>
    <n v="1"/>
    <n v="2"/>
    <n v="6"/>
    <n v="3"/>
    <n v="3"/>
    <n v="3"/>
  </r>
  <r>
    <x v="40"/>
    <x v="1"/>
    <x v="0"/>
    <n v="207"/>
    <x v="1"/>
    <n v="9"/>
    <n v="4"/>
    <x v="0"/>
    <x v="0"/>
    <x v="1321"/>
    <n v="2"/>
    <x v="0"/>
    <n v="64"/>
    <n v="3"/>
    <n v="1"/>
    <x v="2"/>
    <n v="3"/>
    <x v="0"/>
    <n v="2105"/>
    <n v="5411"/>
    <n v="4"/>
    <s v="Y"/>
    <x v="1"/>
    <n v="12"/>
    <n v="3"/>
    <n v="3"/>
    <n v="80"/>
    <n v="0"/>
    <n v="7"/>
    <n v="2"/>
    <n v="3"/>
    <n v="2"/>
    <n v="2"/>
    <n v="2"/>
    <n v="0"/>
  </r>
  <r>
    <x v="21"/>
    <x v="1"/>
    <x v="0"/>
    <n v="706"/>
    <x v="1"/>
    <n v="2"/>
    <n v="2"/>
    <x v="0"/>
    <x v="0"/>
    <x v="1322"/>
    <n v="4"/>
    <x v="1"/>
    <n v="82"/>
    <n v="3"/>
    <n v="3"/>
    <x v="3"/>
    <n v="4"/>
    <x v="2"/>
    <n v="8578"/>
    <n v="19989"/>
    <n v="3"/>
    <s v="Y"/>
    <x v="1"/>
    <n v="14"/>
    <n v="3"/>
    <n v="3"/>
    <n v="80"/>
    <n v="1"/>
    <n v="12"/>
    <n v="4"/>
    <n v="2"/>
    <n v="9"/>
    <n v="8"/>
    <n v="4"/>
    <n v="7"/>
  </r>
  <r>
    <x v="14"/>
    <x v="1"/>
    <x v="2"/>
    <n v="280"/>
    <x v="2"/>
    <n v="1"/>
    <n v="2"/>
    <x v="0"/>
    <x v="0"/>
    <x v="1323"/>
    <n v="3"/>
    <x v="1"/>
    <n v="43"/>
    <n v="3"/>
    <n v="1"/>
    <x v="8"/>
    <n v="4"/>
    <x v="2"/>
    <n v="2706"/>
    <n v="10494"/>
    <n v="1"/>
    <s v="Y"/>
    <x v="1"/>
    <n v="15"/>
    <n v="3"/>
    <n v="2"/>
    <n v="80"/>
    <n v="1"/>
    <n v="3"/>
    <n v="2"/>
    <n v="3"/>
    <n v="3"/>
    <n v="2"/>
    <n v="2"/>
    <n v="2"/>
  </r>
  <r>
    <x v="11"/>
    <x v="1"/>
    <x v="0"/>
    <n v="726"/>
    <x v="1"/>
    <n v="29"/>
    <n v="1"/>
    <x v="0"/>
    <x v="0"/>
    <x v="1324"/>
    <n v="4"/>
    <x v="1"/>
    <n v="93"/>
    <n v="1"/>
    <n v="2"/>
    <x v="4"/>
    <n v="3"/>
    <x v="2"/>
    <n v="6384"/>
    <n v="21143"/>
    <n v="8"/>
    <s v="Y"/>
    <x v="1"/>
    <n v="17"/>
    <n v="3"/>
    <n v="4"/>
    <n v="80"/>
    <n v="2"/>
    <n v="11"/>
    <n v="3"/>
    <n v="3"/>
    <n v="7"/>
    <n v="0"/>
    <n v="1"/>
    <n v="6"/>
  </r>
  <r>
    <x v="19"/>
    <x v="1"/>
    <x v="0"/>
    <n v="1142"/>
    <x v="1"/>
    <n v="8"/>
    <n v="3"/>
    <x v="0"/>
    <x v="0"/>
    <x v="1325"/>
    <n v="4"/>
    <x v="1"/>
    <n v="81"/>
    <n v="3"/>
    <n v="1"/>
    <x v="2"/>
    <n v="3"/>
    <x v="0"/>
    <n v="3968"/>
    <n v="13624"/>
    <n v="4"/>
    <s v="Y"/>
    <x v="1"/>
    <n v="13"/>
    <n v="3"/>
    <n v="4"/>
    <n v="80"/>
    <n v="0"/>
    <n v="8"/>
    <n v="3"/>
    <n v="3"/>
    <n v="0"/>
    <n v="0"/>
    <n v="0"/>
    <n v="0"/>
  </r>
  <r>
    <x v="5"/>
    <x v="0"/>
    <x v="0"/>
    <n v="414"/>
    <x v="0"/>
    <n v="2"/>
    <n v="4"/>
    <x v="3"/>
    <x v="0"/>
    <x v="1326"/>
    <n v="3"/>
    <x v="1"/>
    <n v="82"/>
    <n v="2"/>
    <n v="2"/>
    <x v="0"/>
    <n v="2"/>
    <x v="0"/>
    <n v="9907"/>
    <n v="26186"/>
    <n v="7"/>
    <s v="Y"/>
    <x v="0"/>
    <n v="12"/>
    <n v="3"/>
    <n v="3"/>
    <n v="80"/>
    <n v="0"/>
    <n v="7"/>
    <n v="3"/>
    <n v="2"/>
    <n v="2"/>
    <n v="2"/>
    <n v="2"/>
    <n v="2"/>
  </r>
  <r>
    <x v="21"/>
    <x v="1"/>
    <x v="0"/>
    <n v="1319"/>
    <x v="0"/>
    <n v="3"/>
    <n v="3"/>
    <x v="4"/>
    <x v="0"/>
    <x v="1327"/>
    <n v="1"/>
    <x v="0"/>
    <n v="45"/>
    <n v="4"/>
    <n v="4"/>
    <x v="0"/>
    <n v="1"/>
    <x v="2"/>
    <n v="13225"/>
    <n v="7739"/>
    <n v="2"/>
    <s v="Y"/>
    <x v="1"/>
    <n v="12"/>
    <n v="3"/>
    <n v="4"/>
    <n v="80"/>
    <n v="1"/>
    <n v="25"/>
    <n v="5"/>
    <n v="3"/>
    <n v="19"/>
    <n v="17"/>
    <n v="2"/>
    <n v="8"/>
  </r>
  <r>
    <x v="4"/>
    <x v="1"/>
    <x v="0"/>
    <n v="728"/>
    <x v="0"/>
    <n v="23"/>
    <n v="1"/>
    <x v="2"/>
    <x v="0"/>
    <x v="1328"/>
    <n v="2"/>
    <x v="0"/>
    <n v="36"/>
    <n v="2"/>
    <n v="2"/>
    <x v="6"/>
    <n v="3"/>
    <x v="1"/>
    <n v="3540"/>
    <n v="7018"/>
    <n v="1"/>
    <s v="Y"/>
    <x v="1"/>
    <n v="21"/>
    <n v="4"/>
    <n v="4"/>
    <n v="80"/>
    <n v="1"/>
    <n v="9"/>
    <n v="5"/>
    <n v="3"/>
    <n v="9"/>
    <n v="8"/>
    <n v="5"/>
    <n v="8"/>
  </r>
  <r>
    <x v="11"/>
    <x v="1"/>
    <x v="0"/>
    <n v="352"/>
    <x v="2"/>
    <n v="6"/>
    <n v="1"/>
    <x v="2"/>
    <x v="0"/>
    <x v="1329"/>
    <n v="4"/>
    <x v="1"/>
    <n v="87"/>
    <n v="2"/>
    <n v="1"/>
    <x v="8"/>
    <n v="2"/>
    <x v="1"/>
    <n v="2804"/>
    <n v="15434"/>
    <n v="1"/>
    <s v="Y"/>
    <x v="1"/>
    <n v="11"/>
    <n v="3"/>
    <n v="4"/>
    <n v="80"/>
    <n v="0"/>
    <n v="1"/>
    <n v="3"/>
    <n v="3"/>
    <n v="1"/>
    <n v="0"/>
    <n v="0"/>
    <n v="0"/>
  </r>
  <r>
    <x v="23"/>
    <x v="1"/>
    <x v="0"/>
    <n v="823"/>
    <x v="1"/>
    <n v="6"/>
    <n v="3"/>
    <x v="2"/>
    <x v="0"/>
    <x v="1330"/>
    <n v="1"/>
    <x v="0"/>
    <n v="81"/>
    <n v="2"/>
    <n v="5"/>
    <x v="5"/>
    <n v="3"/>
    <x v="1"/>
    <n v="19392"/>
    <n v="22539"/>
    <n v="7"/>
    <s v="Y"/>
    <x v="1"/>
    <n v="13"/>
    <n v="3"/>
    <n v="4"/>
    <n v="80"/>
    <n v="0"/>
    <n v="21"/>
    <n v="2"/>
    <n v="3"/>
    <n v="16"/>
    <n v="12"/>
    <n v="6"/>
    <n v="14"/>
  </r>
  <r>
    <x v="26"/>
    <x v="1"/>
    <x v="0"/>
    <n v="1224"/>
    <x v="1"/>
    <n v="10"/>
    <n v="3"/>
    <x v="0"/>
    <x v="0"/>
    <x v="1331"/>
    <n v="4"/>
    <x v="1"/>
    <n v="91"/>
    <n v="2"/>
    <n v="5"/>
    <x v="7"/>
    <n v="2"/>
    <x v="1"/>
    <n v="19665"/>
    <n v="13583"/>
    <n v="4"/>
    <s v="Y"/>
    <x v="1"/>
    <n v="12"/>
    <n v="3"/>
    <n v="4"/>
    <n v="80"/>
    <n v="0"/>
    <n v="29"/>
    <n v="3"/>
    <n v="3"/>
    <n v="22"/>
    <n v="10"/>
    <n v="12"/>
    <n v="9"/>
  </r>
  <r>
    <x v="11"/>
    <x v="0"/>
    <x v="1"/>
    <n v="459"/>
    <x v="1"/>
    <n v="24"/>
    <n v="2"/>
    <x v="0"/>
    <x v="0"/>
    <x v="1332"/>
    <n v="4"/>
    <x v="1"/>
    <n v="73"/>
    <n v="2"/>
    <n v="1"/>
    <x v="1"/>
    <n v="4"/>
    <x v="0"/>
    <n v="2439"/>
    <n v="14753"/>
    <n v="1"/>
    <s v="Y"/>
    <x v="0"/>
    <n v="24"/>
    <n v="4"/>
    <n v="2"/>
    <n v="80"/>
    <n v="0"/>
    <n v="1"/>
    <n v="3"/>
    <n v="2"/>
    <n v="1"/>
    <n v="0"/>
    <n v="1"/>
    <n v="0"/>
  </r>
  <r>
    <x v="21"/>
    <x v="0"/>
    <x v="0"/>
    <n v="1254"/>
    <x v="0"/>
    <n v="10"/>
    <n v="3"/>
    <x v="0"/>
    <x v="0"/>
    <x v="1333"/>
    <n v="3"/>
    <x v="0"/>
    <n v="64"/>
    <n v="3"/>
    <n v="3"/>
    <x v="0"/>
    <n v="2"/>
    <x v="1"/>
    <n v="7314"/>
    <n v="14011"/>
    <n v="5"/>
    <s v="Y"/>
    <x v="1"/>
    <n v="21"/>
    <n v="4"/>
    <n v="3"/>
    <n v="80"/>
    <n v="3"/>
    <n v="14"/>
    <n v="2"/>
    <n v="3"/>
    <n v="8"/>
    <n v="7"/>
    <n v="0"/>
    <n v="7"/>
  </r>
  <r>
    <x v="4"/>
    <x v="1"/>
    <x v="1"/>
    <n v="1131"/>
    <x v="1"/>
    <n v="15"/>
    <n v="3"/>
    <x v="0"/>
    <x v="0"/>
    <x v="1334"/>
    <n v="4"/>
    <x v="0"/>
    <n v="77"/>
    <n v="2"/>
    <n v="1"/>
    <x v="1"/>
    <n v="1"/>
    <x v="1"/>
    <n v="4774"/>
    <n v="23844"/>
    <n v="0"/>
    <s v="Y"/>
    <x v="1"/>
    <n v="19"/>
    <n v="3"/>
    <n v="4"/>
    <n v="80"/>
    <n v="1"/>
    <n v="8"/>
    <n v="2"/>
    <n v="2"/>
    <n v="7"/>
    <n v="6"/>
    <n v="7"/>
    <n v="3"/>
  </r>
  <r>
    <x v="22"/>
    <x v="1"/>
    <x v="0"/>
    <n v="835"/>
    <x v="1"/>
    <n v="19"/>
    <n v="4"/>
    <x v="1"/>
    <x v="0"/>
    <x v="1335"/>
    <n v="4"/>
    <x v="1"/>
    <n v="41"/>
    <n v="3"/>
    <n v="2"/>
    <x v="1"/>
    <n v="4"/>
    <x v="2"/>
    <n v="3902"/>
    <n v="5141"/>
    <n v="8"/>
    <s v="Y"/>
    <x v="1"/>
    <n v="14"/>
    <n v="3"/>
    <n v="2"/>
    <n v="80"/>
    <n v="3"/>
    <n v="7"/>
    <n v="2"/>
    <n v="3"/>
    <n v="2"/>
    <n v="2"/>
    <n v="2"/>
    <n v="2"/>
  </r>
  <r>
    <x v="27"/>
    <x v="1"/>
    <x v="0"/>
    <n v="836"/>
    <x v="1"/>
    <n v="2"/>
    <n v="4"/>
    <x v="4"/>
    <x v="0"/>
    <x v="1336"/>
    <n v="2"/>
    <x v="1"/>
    <n v="98"/>
    <n v="2"/>
    <n v="1"/>
    <x v="1"/>
    <n v="4"/>
    <x v="1"/>
    <n v="2662"/>
    <n v="7975"/>
    <n v="8"/>
    <s v="Y"/>
    <x v="1"/>
    <n v="20"/>
    <n v="4"/>
    <n v="2"/>
    <n v="80"/>
    <n v="1"/>
    <n v="19"/>
    <n v="2"/>
    <n v="4"/>
    <n v="5"/>
    <n v="2"/>
    <n v="0"/>
    <n v="4"/>
  </r>
  <r>
    <x v="14"/>
    <x v="1"/>
    <x v="0"/>
    <n v="1172"/>
    <x v="0"/>
    <n v="3"/>
    <n v="3"/>
    <x v="2"/>
    <x v="0"/>
    <x v="1337"/>
    <n v="2"/>
    <x v="0"/>
    <n v="78"/>
    <n v="3"/>
    <n v="1"/>
    <x v="6"/>
    <n v="2"/>
    <x v="1"/>
    <n v="2856"/>
    <n v="3692"/>
    <n v="1"/>
    <s v="Y"/>
    <x v="1"/>
    <n v="19"/>
    <n v="3"/>
    <n v="4"/>
    <n v="80"/>
    <n v="1"/>
    <n v="1"/>
    <n v="3"/>
    <n v="3"/>
    <n v="1"/>
    <n v="0"/>
    <n v="0"/>
    <n v="0"/>
  </r>
  <r>
    <x v="7"/>
    <x v="0"/>
    <x v="0"/>
    <n v="945"/>
    <x v="0"/>
    <n v="9"/>
    <n v="3"/>
    <x v="2"/>
    <x v="0"/>
    <x v="1338"/>
    <n v="2"/>
    <x v="1"/>
    <n v="89"/>
    <n v="3"/>
    <n v="1"/>
    <x v="6"/>
    <n v="4"/>
    <x v="0"/>
    <n v="1081"/>
    <n v="16019"/>
    <n v="1"/>
    <s v="Y"/>
    <x v="1"/>
    <n v="13"/>
    <n v="3"/>
    <n v="3"/>
    <n v="80"/>
    <n v="0"/>
    <n v="1"/>
    <n v="3"/>
    <n v="2"/>
    <n v="1"/>
    <n v="0"/>
    <n v="0"/>
    <n v="0"/>
  </r>
  <r>
    <x v="15"/>
    <x v="0"/>
    <x v="0"/>
    <n v="391"/>
    <x v="1"/>
    <n v="7"/>
    <n v="1"/>
    <x v="0"/>
    <x v="0"/>
    <x v="1339"/>
    <n v="4"/>
    <x v="1"/>
    <n v="75"/>
    <n v="3"/>
    <n v="1"/>
    <x v="1"/>
    <n v="2"/>
    <x v="0"/>
    <n v="2472"/>
    <n v="26092"/>
    <n v="1"/>
    <s v="Y"/>
    <x v="0"/>
    <n v="23"/>
    <n v="4"/>
    <n v="1"/>
    <n v="80"/>
    <n v="0"/>
    <n v="1"/>
    <n v="2"/>
    <n v="3"/>
    <n v="1"/>
    <n v="0"/>
    <n v="0"/>
    <n v="0"/>
  </r>
  <r>
    <x v="9"/>
    <x v="1"/>
    <x v="0"/>
    <n v="1266"/>
    <x v="0"/>
    <n v="10"/>
    <n v="4"/>
    <x v="4"/>
    <x v="0"/>
    <x v="1340"/>
    <n v="2"/>
    <x v="0"/>
    <n v="63"/>
    <n v="2"/>
    <n v="2"/>
    <x v="0"/>
    <n v="3"/>
    <x v="1"/>
    <n v="5673"/>
    <n v="6060"/>
    <n v="1"/>
    <s v="Y"/>
    <x v="0"/>
    <n v="13"/>
    <n v="3"/>
    <n v="1"/>
    <n v="80"/>
    <n v="1"/>
    <n v="10"/>
    <n v="4"/>
    <n v="3"/>
    <n v="10"/>
    <n v="9"/>
    <n v="1"/>
    <n v="7"/>
  </r>
  <r>
    <x v="12"/>
    <x v="1"/>
    <x v="0"/>
    <n v="311"/>
    <x v="1"/>
    <n v="20"/>
    <n v="3"/>
    <x v="0"/>
    <x v="0"/>
    <x v="1341"/>
    <n v="2"/>
    <x v="1"/>
    <n v="89"/>
    <n v="3"/>
    <n v="2"/>
    <x v="2"/>
    <n v="3"/>
    <x v="2"/>
    <n v="4197"/>
    <n v="18624"/>
    <n v="1"/>
    <s v="Y"/>
    <x v="1"/>
    <n v="11"/>
    <n v="3"/>
    <n v="1"/>
    <n v="80"/>
    <n v="1"/>
    <n v="10"/>
    <n v="2"/>
    <n v="3"/>
    <n v="10"/>
    <n v="8"/>
    <n v="0"/>
    <n v="2"/>
  </r>
  <r>
    <x v="13"/>
    <x v="1"/>
    <x v="0"/>
    <n v="1480"/>
    <x v="0"/>
    <n v="4"/>
    <n v="3"/>
    <x v="0"/>
    <x v="0"/>
    <x v="1342"/>
    <n v="3"/>
    <x v="1"/>
    <n v="64"/>
    <n v="3"/>
    <n v="3"/>
    <x v="0"/>
    <n v="4"/>
    <x v="1"/>
    <n v="9713"/>
    <n v="24444"/>
    <n v="2"/>
    <s v="Y"/>
    <x v="0"/>
    <n v="13"/>
    <n v="3"/>
    <n v="4"/>
    <n v="80"/>
    <n v="3"/>
    <n v="9"/>
    <n v="3"/>
    <n v="3"/>
    <n v="5"/>
    <n v="3"/>
    <n v="1"/>
    <n v="0"/>
  </r>
  <r>
    <x v="11"/>
    <x v="1"/>
    <x v="0"/>
    <n v="592"/>
    <x v="1"/>
    <n v="7"/>
    <n v="3"/>
    <x v="0"/>
    <x v="0"/>
    <x v="1343"/>
    <n v="4"/>
    <x v="1"/>
    <n v="59"/>
    <n v="3"/>
    <n v="1"/>
    <x v="2"/>
    <n v="1"/>
    <x v="0"/>
    <n v="2062"/>
    <n v="19384"/>
    <n v="3"/>
    <s v="Y"/>
    <x v="1"/>
    <n v="14"/>
    <n v="3"/>
    <n v="2"/>
    <n v="80"/>
    <n v="0"/>
    <n v="11"/>
    <n v="2"/>
    <n v="3"/>
    <n v="3"/>
    <n v="2"/>
    <n v="1"/>
    <n v="2"/>
  </r>
  <r>
    <x v="2"/>
    <x v="1"/>
    <x v="0"/>
    <n v="783"/>
    <x v="1"/>
    <n v="7"/>
    <n v="4"/>
    <x v="2"/>
    <x v="0"/>
    <x v="1344"/>
    <n v="4"/>
    <x v="1"/>
    <n v="78"/>
    <n v="3"/>
    <n v="2"/>
    <x v="1"/>
    <n v="1"/>
    <x v="1"/>
    <n v="4284"/>
    <n v="13588"/>
    <n v="5"/>
    <s v="Y"/>
    <x v="0"/>
    <n v="22"/>
    <n v="4"/>
    <n v="3"/>
    <n v="80"/>
    <n v="1"/>
    <n v="16"/>
    <n v="2"/>
    <n v="3"/>
    <n v="5"/>
    <n v="3"/>
    <n v="0"/>
    <n v="4"/>
  </r>
  <r>
    <x v="10"/>
    <x v="1"/>
    <x v="0"/>
    <n v="219"/>
    <x v="1"/>
    <n v="16"/>
    <n v="2"/>
    <x v="1"/>
    <x v="0"/>
    <x v="1345"/>
    <n v="4"/>
    <x v="0"/>
    <n v="44"/>
    <n v="2"/>
    <n v="2"/>
    <x v="3"/>
    <n v="2"/>
    <x v="1"/>
    <n v="4788"/>
    <n v="25388"/>
    <n v="0"/>
    <s v="Y"/>
    <x v="0"/>
    <n v="11"/>
    <n v="3"/>
    <n v="4"/>
    <n v="80"/>
    <n v="0"/>
    <n v="4"/>
    <n v="2"/>
    <n v="3"/>
    <n v="3"/>
    <n v="2"/>
    <n v="0"/>
    <n v="2"/>
  </r>
  <r>
    <x v="28"/>
    <x v="1"/>
    <x v="0"/>
    <n v="556"/>
    <x v="1"/>
    <n v="25"/>
    <n v="2"/>
    <x v="0"/>
    <x v="0"/>
    <x v="1346"/>
    <n v="2"/>
    <x v="0"/>
    <n v="93"/>
    <n v="2"/>
    <n v="2"/>
    <x v="3"/>
    <n v="4"/>
    <x v="1"/>
    <n v="5906"/>
    <n v="23888"/>
    <n v="0"/>
    <s v="Y"/>
    <x v="1"/>
    <n v="13"/>
    <n v="3"/>
    <n v="4"/>
    <n v="80"/>
    <n v="2"/>
    <n v="10"/>
    <n v="2"/>
    <n v="2"/>
    <n v="9"/>
    <n v="8"/>
    <n v="3"/>
    <n v="8"/>
  </r>
  <r>
    <x v="9"/>
    <x v="1"/>
    <x v="1"/>
    <n v="1213"/>
    <x v="2"/>
    <n v="2"/>
    <n v="1"/>
    <x v="5"/>
    <x v="0"/>
    <x v="1347"/>
    <n v="2"/>
    <x v="1"/>
    <n v="94"/>
    <n v="2"/>
    <n v="2"/>
    <x v="8"/>
    <n v="4"/>
    <x v="0"/>
    <n v="3886"/>
    <n v="4223"/>
    <n v="1"/>
    <s v="Y"/>
    <x v="1"/>
    <n v="21"/>
    <n v="4"/>
    <n v="4"/>
    <n v="80"/>
    <n v="0"/>
    <n v="10"/>
    <n v="2"/>
    <n v="2"/>
    <n v="10"/>
    <n v="1"/>
    <n v="0"/>
    <n v="8"/>
  </r>
  <r>
    <x v="32"/>
    <x v="1"/>
    <x v="0"/>
    <n v="1137"/>
    <x v="1"/>
    <n v="1"/>
    <n v="4"/>
    <x v="0"/>
    <x v="0"/>
    <x v="1348"/>
    <n v="1"/>
    <x v="1"/>
    <n v="98"/>
    <n v="3"/>
    <n v="4"/>
    <x v="5"/>
    <n v="1"/>
    <x v="2"/>
    <n v="16823"/>
    <n v="18991"/>
    <n v="2"/>
    <s v="Y"/>
    <x v="1"/>
    <n v="11"/>
    <n v="3"/>
    <n v="1"/>
    <n v="80"/>
    <n v="1"/>
    <n v="22"/>
    <n v="3"/>
    <n v="3"/>
    <n v="19"/>
    <n v="7"/>
    <n v="11"/>
    <n v="16"/>
  </r>
  <r>
    <x v="25"/>
    <x v="1"/>
    <x v="0"/>
    <n v="482"/>
    <x v="1"/>
    <n v="1"/>
    <n v="2"/>
    <x v="0"/>
    <x v="0"/>
    <x v="1349"/>
    <n v="2"/>
    <x v="0"/>
    <n v="90"/>
    <n v="2"/>
    <n v="1"/>
    <x v="1"/>
    <n v="3"/>
    <x v="1"/>
    <n v="2933"/>
    <n v="14908"/>
    <n v="1"/>
    <s v="Y"/>
    <x v="0"/>
    <n v="13"/>
    <n v="3"/>
    <n v="3"/>
    <n v="80"/>
    <n v="1"/>
    <n v="1"/>
    <n v="3"/>
    <n v="2"/>
    <n v="1"/>
    <n v="0"/>
    <n v="1"/>
    <n v="0"/>
  </r>
  <r>
    <x v="4"/>
    <x v="1"/>
    <x v="0"/>
    <n v="511"/>
    <x v="0"/>
    <n v="2"/>
    <n v="2"/>
    <x v="2"/>
    <x v="0"/>
    <x v="1350"/>
    <n v="1"/>
    <x v="0"/>
    <n v="89"/>
    <n v="4"/>
    <n v="2"/>
    <x v="0"/>
    <n v="3"/>
    <x v="0"/>
    <n v="6500"/>
    <n v="26997"/>
    <n v="0"/>
    <s v="Y"/>
    <x v="1"/>
    <n v="14"/>
    <n v="3"/>
    <n v="2"/>
    <n v="80"/>
    <n v="0"/>
    <n v="9"/>
    <n v="5"/>
    <n v="2"/>
    <n v="8"/>
    <n v="7"/>
    <n v="0"/>
    <n v="7"/>
  </r>
  <r>
    <x v="26"/>
    <x v="1"/>
    <x v="1"/>
    <n v="117"/>
    <x v="1"/>
    <n v="22"/>
    <n v="3"/>
    <x v="2"/>
    <x v="0"/>
    <x v="1351"/>
    <n v="4"/>
    <x v="0"/>
    <n v="58"/>
    <n v="3"/>
    <n v="4"/>
    <x v="5"/>
    <n v="4"/>
    <x v="2"/>
    <n v="17174"/>
    <n v="2437"/>
    <n v="3"/>
    <s v="Y"/>
    <x v="1"/>
    <n v="11"/>
    <n v="3"/>
    <n v="2"/>
    <n v="80"/>
    <n v="1"/>
    <n v="24"/>
    <n v="3"/>
    <n v="3"/>
    <n v="22"/>
    <n v="17"/>
    <n v="4"/>
    <n v="7"/>
  </r>
  <r>
    <x v="20"/>
    <x v="1"/>
    <x v="0"/>
    <n v="170"/>
    <x v="1"/>
    <n v="1"/>
    <n v="4"/>
    <x v="0"/>
    <x v="0"/>
    <x v="1352"/>
    <n v="2"/>
    <x v="1"/>
    <n v="78"/>
    <n v="4"/>
    <n v="2"/>
    <x v="4"/>
    <n v="1"/>
    <x v="1"/>
    <n v="5033"/>
    <n v="9364"/>
    <n v="2"/>
    <s v="Y"/>
    <x v="1"/>
    <n v="15"/>
    <n v="3"/>
    <n v="4"/>
    <n v="80"/>
    <n v="1"/>
    <n v="10"/>
    <n v="5"/>
    <n v="3"/>
    <n v="2"/>
    <n v="0"/>
    <n v="2"/>
    <n v="2"/>
  </r>
  <r>
    <x v="13"/>
    <x v="0"/>
    <x v="2"/>
    <n v="967"/>
    <x v="1"/>
    <n v="16"/>
    <n v="4"/>
    <x v="4"/>
    <x v="0"/>
    <x v="1353"/>
    <n v="4"/>
    <x v="1"/>
    <n v="85"/>
    <n v="1"/>
    <n v="1"/>
    <x v="1"/>
    <n v="1"/>
    <x v="1"/>
    <n v="2307"/>
    <n v="14460"/>
    <n v="1"/>
    <s v="Y"/>
    <x v="0"/>
    <n v="23"/>
    <n v="4"/>
    <n v="2"/>
    <n v="80"/>
    <n v="1"/>
    <n v="5"/>
    <n v="2"/>
    <n v="3"/>
    <n v="5"/>
    <n v="2"/>
    <n v="3"/>
    <n v="0"/>
  </r>
  <r>
    <x v="29"/>
    <x v="0"/>
    <x v="0"/>
    <n v="1162"/>
    <x v="1"/>
    <n v="24"/>
    <n v="2"/>
    <x v="0"/>
    <x v="0"/>
    <x v="1354"/>
    <n v="1"/>
    <x v="1"/>
    <n v="97"/>
    <n v="3"/>
    <n v="1"/>
    <x v="2"/>
    <n v="4"/>
    <x v="0"/>
    <n v="2587"/>
    <n v="10261"/>
    <n v="1"/>
    <s v="Y"/>
    <x v="1"/>
    <n v="16"/>
    <n v="3"/>
    <n v="4"/>
    <n v="80"/>
    <n v="0"/>
    <n v="5"/>
    <n v="3"/>
    <n v="3"/>
    <n v="4"/>
    <n v="2"/>
    <n v="1"/>
    <n v="0"/>
  </r>
  <r>
    <x v="9"/>
    <x v="1"/>
    <x v="0"/>
    <n v="335"/>
    <x v="0"/>
    <n v="17"/>
    <n v="2"/>
    <x v="3"/>
    <x v="0"/>
    <x v="1355"/>
    <n v="3"/>
    <x v="1"/>
    <n v="33"/>
    <n v="2"/>
    <n v="2"/>
    <x v="0"/>
    <n v="2"/>
    <x v="1"/>
    <n v="5507"/>
    <n v="16822"/>
    <n v="2"/>
    <s v="Y"/>
    <x v="1"/>
    <n v="16"/>
    <n v="3"/>
    <n v="3"/>
    <n v="80"/>
    <n v="2"/>
    <n v="12"/>
    <n v="1"/>
    <n v="1"/>
    <n v="4"/>
    <n v="2"/>
    <n v="1"/>
    <n v="3"/>
  </r>
  <r>
    <x v="0"/>
    <x v="1"/>
    <x v="0"/>
    <n v="337"/>
    <x v="0"/>
    <n v="8"/>
    <n v="3"/>
    <x v="3"/>
    <x v="0"/>
    <x v="1356"/>
    <n v="3"/>
    <x v="0"/>
    <n v="54"/>
    <n v="3"/>
    <n v="2"/>
    <x v="0"/>
    <n v="2"/>
    <x v="1"/>
    <n v="4393"/>
    <n v="26841"/>
    <n v="5"/>
    <s v="Y"/>
    <x v="1"/>
    <n v="21"/>
    <n v="4"/>
    <n v="3"/>
    <n v="80"/>
    <n v="1"/>
    <n v="14"/>
    <n v="3"/>
    <n v="3"/>
    <n v="5"/>
    <n v="4"/>
    <n v="1"/>
    <n v="4"/>
  </r>
  <r>
    <x v="19"/>
    <x v="1"/>
    <x v="0"/>
    <n v="1396"/>
    <x v="1"/>
    <n v="6"/>
    <n v="3"/>
    <x v="2"/>
    <x v="0"/>
    <x v="1357"/>
    <n v="3"/>
    <x v="1"/>
    <n v="83"/>
    <n v="3"/>
    <n v="3"/>
    <x v="7"/>
    <n v="1"/>
    <x v="1"/>
    <n v="13348"/>
    <n v="14842"/>
    <n v="9"/>
    <s v="Y"/>
    <x v="1"/>
    <n v="13"/>
    <n v="3"/>
    <n v="2"/>
    <n v="80"/>
    <n v="1"/>
    <n v="18"/>
    <n v="3"/>
    <n v="4"/>
    <n v="13"/>
    <n v="7"/>
    <n v="5"/>
    <n v="7"/>
  </r>
  <r>
    <x v="12"/>
    <x v="1"/>
    <x v="0"/>
    <n v="1079"/>
    <x v="0"/>
    <n v="10"/>
    <n v="2"/>
    <x v="2"/>
    <x v="0"/>
    <x v="1358"/>
    <n v="3"/>
    <x v="0"/>
    <n v="86"/>
    <n v="3"/>
    <n v="2"/>
    <x v="0"/>
    <n v="4"/>
    <x v="2"/>
    <n v="6583"/>
    <n v="20115"/>
    <n v="2"/>
    <s v="Y"/>
    <x v="0"/>
    <n v="11"/>
    <n v="3"/>
    <n v="4"/>
    <n v="80"/>
    <n v="1"/>
    <n v="8"/>
    <n v="2"/>
    <n v="3"/>
    <n v="5"/>
    <n v="2"/>
    <n v="1"/>
    <n v="4"/>
  </r>
  <r>
    <x v="13"/>
    <x v="1"/>
    <x v="0"/>
    <n v="735"/>
    <x v="0"/>
    <n v="3"/>
    <n v="1"/>
    <x v="2"/>
    <x v="0"/>
    <x v="1359"/>
    <n v="4"/>
    <x v="0"/>
    <n v="75"/>
    <n v="2"/>
    <n v="2"/>
    <x v="0"/>
    <n v="4"/>
    <x v="1"/>
    <n v="8103"/>
    <n v="16495"/>
    <n v="3"/>
    <s v="Y"/>
    <x v="0"/>
    <n v="12"/>
    <n v="3"/>
    <n v="3"/>
    <n v="80"/>
    <n v="0"/>
    <n v="9"/>
    <n v="3"/>
    <n v="2"/>
    <n v="4"/>
    <n v="2"/>
    <n v="0"/>
    <n v="1"/>
  </r>
  <r>
    <x v="12"/>
    <x v="1"/>
    <x v="0"/>
    <n v="471"/>
    <x v="1"/>
    <n v="4"/>
    <n v="3"/>
    <x v="2"/>
    <x v="0"/>
    <x v="1360"/>
    <n v="1"/>
    <x v="0"/>
    <n v="62"/>
    <n v="4"/>
    <n v="1"/>
    <x v="2"/>
    <n v="3"/>
    <x v="2"/>
    <n v="3978"/>
    <n v="16031"/>
    <n v="8"/>
    <s v="Y"/>
    <x v="1"/>
    <n v="12"/>
    <n v="3"/>
    <n v="2"/>
    <n v="80"/>
    <n v="1"/>
    <n v="4"/>
    <n v="0"/>
    <n v="2"/>
    <n v="2"/>
    <n v="2"/>
    <n v="2"/>
    <n v="2"/>
  </r>
  <r>
    <x v="25"/>
    <x v="1"/>
    <x v="1"/>
    <n v="1096"/>
    <x v="1"/>
    <n v="6"/>
    <n v="3"/>
    <x v="1"/>
    <x v="0"/>
    <x v="1361"/>
    <n v="3"/>
    <x v="1"/>
    <n v="61"/>
    <n v="4"/>
    <n v="1"/>
    <x v="2"/>
    <n v="4"/>
    <x v="1"/>
    <n v="2544"/>
    <n v="7102"/>
    <n v="0"/>
    <s v="Y"/>
    <x v="1"/>
    <n v="18"/>
    <n v="3"/>
    <n v="1"/>
    <n v="80"/>
    <n v="1"/>
    <n v="8"/>
    <n v="3"/>
    <n v="3"/>
    <n v="7"/>
    <n v="7"/>
    <n v="7"/>
    <n v="7"/>
  </r>
  <r>
    <x v="28"/>
    <x v="1"/>
    <x v="1"/>
    <n v="1297"/>
    <x v="1"/>
    <n v="1"/>
    <n v="4"/>
    <x v="2"/>
    <x v="0"/>
    <x v="1362"/>
    <n v="2"/>
    <x v="1"/>
    <n v="44"/>
    <n v="3"/>
    <n v="2"/>
    <x v="4"/>
    <n v="3"/>
    <x v="0"/>
    <n v="5399"/>
    <n v="14511"/>
    <n v="4"/>
    <s v="Y"/>
    <x v="1"/>
    <n v="12"/>
    <n v="3"/>
    <n v="3"/>
    <n v="80"/>
    <n v="0"/>
    <n v="12"/>
    <n v="3"/>
    <n v="3"/>
    <n v="4"/>
    <n v="2"/>
    <n v="0"/>
    <n v="3"/>
  </r>
  <r>
    <x v="3"/>
    <x v="1"/>
    <x v="0"/>
    <n v="217"/>
    <x v="0"/>
    <n v="10"/>
    <n v="4"/>
    <x v="3"/>
    <x v="0"/>
    <x v="1363"/>
    <n v="2"/>
    <x v="1"/>
    <n v="43"/>
    <n v="3"/>
    <n v="2"/>
    <x v="0"/>
    <n v="3"/>
    <x v="0"/>
    <n v="5487"/>
    <n v="10410"/>
    <n v="1"/>
    <s v="Y"/>
    <x v="1"/>
    <n v="14"/>
    <n v="3"/>
    <n v="2"/>
    <n v="80"/>
    <n v="0"/>
    <n v="10"/>
    <n v="2"/>
    <n v="2"/>
    <n v="10"/>
    <n v="4"/>
    <n v="0"/>
    <n v="9"/>
  </r>
  <r>
    <x v="14"/>
    <x v="1"/>
    <x v="1"/>
    <n v="783"/>
    <x v="0"/>
    <n v="1"/>
    <n v="2"/>
    <x v="0"/>
    <x v="0"/>
    <x v="1364"/>
    <n v="3"/>
    <x v="1"/>
    <n v="42"/>
    <n v="2"/>
    <n v="2"/>
    <x v="0"/>
    <n v="4"/>
    <x v="1"/>
    <n v="6834"/>
    <n v="19255"/>
    <n v="1"/>
    <s v="Y"/>
    <x v="0"/>
    <n v="12"/>
    <n v="3"/>
    <n v="3"/>
    <n v="80"/>
    <n v="1"/>
    <n v="7"/>
    <n v="2"/>
    <n v="3"/>
    <n v="7"/>
    <n v="7"/>
    <n v="0"/>
    <n v="7"/>
  </r>
  <r>
    <x v="11"/>
    <x v="0"/>
    <x v="1"/>
    <n v="746"/>
    <x v="0"/>
    <n v="24"/>
    <n v="3"/>
    <x v="4"/>
    <x v="0"/>
    <x v="1365"/>
    <n v="3"/>
    <x v="1"/>
    <n v="45"/>
    <n v="4"/>
    <n v="1"/>
    <x v="6"/>
    <n v="1"/>
    <x v="0"/>
    <n v="1091"/>
    <n v="10642"/>
    <n v="1"/>
    <s v="Y"/>
    <x v="1"/>
    <n v="17"/>
    <n v="3"/>
    <n v="4"/>
    <n v="80"/>
    <n v="0"/>
    <n v="1"/>
    <n v="3"/>
    <n v="3"/>
    <n v="1"/>
    <n v="0"/>
    <n v="0"/>
    <n v="0"/>
  </r>
  <r>
    <x v="22"/>
    <x v="1"/>
    <x v="2"/>
    <n v="1251"/>
    <x v="0"/>
    <n v="21"/>
    <n v="4"/>
    <x v="0"/>
    <x v="0"/>
    <x v="1366"/>
    <n v="1"/>
    <x v="0"/>
    <n v="32"/>
    <n v="1"/>
    <n v="2"/>
    <x v="0"/>
    <n v="3"/>
    <x v="1"/>
    <n v="5736"/>
    <n v="3987"/>
    <n v="6"/>
    <s v="Y"/>
    <x v="1"/>
    <n v="19"/>
    <n v="3"/>
    <n v="3"/>
    <n v="80"/>
    <n v="1"/>
    <n v="10"/>
    <n v="1"/>
    <n v="3"/>
    <n v="3"/>
    <n v="2"/>
    <n v="1"/>
    <n v="2"/>
  </r>
  <r>
    <x v="4"/>
    <x v="1"/>
    <x v="0"/>
    <n v="1354"/>
    <x v="1"/>
    <n v="2"/>
    <n v="4"/>
    <x v="4"/>
    <x v="0"/>
    <x v="1367"/>
    <n v="2"/>
    <x v="1"/>
    <n v="41"/>
    <n v="3"/>
    <n v="1"/>
    <x v="1"/>
    <n v="2"/>
    <x v="1"/>
    <n v="2226"/>
    <n v="6073"/>
    <n v="1"/>
    <s v="Y"/>
    <x v="1"/>
    <n v="11"/>
    <n v="3"/>
    <n v="3"/>
    <n v="80"/>
    <n v="1"/>
    <n v="6"/>
    <n v="3"/>
    <n v="2"/>
    <n v="5"/>
    <n v="3"/>
    <n v="1"/>
    <n v="2"/>
  </r>
  <r>
    <x v="13"/>
    <x v="1"/>
    <x v="1"/>
    <n v="735"/>
    <x v="1"/>
    <n v="22"/>
    <n v="4"/>
    <x v="1"/>
    <x v="0"/>
    <x v="1368"/>
    <n v="3"/>
    <x v="1"/>
    <n v="86"/>
    <n v="2"/>
    <n v="2"/>
    <x v="1"/>
    <n v="4"/>
    <x v="1"/>
    <n v="5747"/>
    <n v="26496"/>
    <n v="1"/>
    <s v="Y"/>
    <x v="0"/>
    <n v="15"/>
    <n v="3"/>
    <n v="2"/>
    <n v="80"/>
    <n v="0"/>
    <n v="16"/>
    <n v="3"/>
    <n v="3"/>
    <n v="15"/>
    <n v="10"/>
    <n v="6"/>
    <n v="11"/>
  </r>
  <r>
    <x v="14"/>
    <x v="0"/>
    <x v="0"/>
    <n v="1475"/>
    <x v="0"/>
    <n v="13"/>
    <n v="2"/>
    <x v="3"/>
    <x v="0"/>
    <x v="1369"/>
    <n v="4"/>
    <x v="0"/>
    <n v="84"/>
    <n v="3"/>
    <n v="2"/>
    <x v="0"/>
    <n v="3"/>
    <x v="0"/>
    <n v="9854"/>
    <n v="23352"/>
    <n v="3"/>
    <s v="Y"/>
    <x v="0"/>
    <n v="11"/>
    <n v="3"/>
    <n v="4"/>
    <n v="80"/>
    <n v="0"/>
    <n v="6"/>
    <n v="0"/>
    <n v="3"/>
    <n v="2"/>
    <n v="0"/>
    <n v="2"/>
    <n v="2"/>
  </r>
  <r>
    <x v="40"/>
    <x v="1"/>
    <x v="2"/>
    <n v="1169"/>
    <x v="1"/>
    <n v="14"/>
    <n v="4"/>
    <x v="4"/>
    <x v="0"/>
    <x v="1370"/>
    <n v="3"/>
    <x v="1"/>
    <n v="64"/>
    <n v="3"/>
    <n v="2"/>
    <x v="1"/>
    <n v="2"/>
    <x v="1"/>
    <n v="5467"/>
    <n v="2125"/>
    <n v="8"/>
    <s v="Y"/>
    <x v="1"/>
    <n v="18"/>
    <n v="3"/>
    <n v="3"/>
    <n v="80"/>
    <n v="1"/>
    <n v="16"/>
    <n v="4"/>
    <n v="4"/>
    <n v="8"/>
    <n v="7"/>
    <n v="1"/>
    <n v="7"/>
  </r>
  <r>
    <x v="29"/>
    <x v="1"/>
    <x v="0"/>
    <n v="1443"/>
    <x v="0"/>
    <n v="11"/>
    <n v="5"/>
    <x v="3"/>
    <x v="0"/>
    <x v="1371"/>
    <n v="4"/>
    <x v="0"/>
    <n v="89"/>
    <n v="2"/>
    <n v="2"/>
    <x v="0"/>
    <n v="1"/>
    <x v="1"/>
    <n v="5380"/>
    <n v="20328"/>
    <n v="4"/>
    <s v="Y"/>
    <x v="1"/>
    <n v="16"/>
    <n v="3"/>
    <n v="3"/>
    <n v="80"/>
    <n v="1"/>
    <n v="6"/>
    <n v="3"/>
    <n v="3"/>
    <n v="0"/>
    <n v="0"/>
    <n v="0"/>
    <n v="0"/>
  </r>
  <r>
    <x v="22"/>
    <x v="1"/>
    <x v="0"/>
    <n v="867"/>
    <x v="1"/>
    <n v="9"/>
    <n v="2"/>
    <x v="2"/>
    <x v="0"/>
    <x v="1372"/>
    <n v="1"/>
    <x v="1"/>
    <n v="87"/>
    <n v="3"/>
    <n v="2"/>
    <x v="3"/>
    <n v="1"/>
    <x v="1"/>
    <n v="5151"/>
    <n v="12315"/>
    <n v="1"/>
    <s v="Y"/>
    <x v="1"/>
    <n v="25"/>
    <n v="4"/>
    <n v="4"/>
    <n v="80"/>
    <n v="1"/>
    <n v="10"/>
    <n v="3"/>
    <n v="3"/>
    <n v="10"/>
    <n v="0"/>
    <n v="7"/>
    <n v="9"/>
  </r>
  <r>
    <x v="8"/>
    <x v="1"/>
    <x v="1"/>
    <n v="1394"/>
    <x v="1"/>
    <n v="8"/>
    <n v="3"/>
    <x v="2"/>
    <x v="0"/>
    <x v="1373"/>
    <n v="4"/>
    <x v="0"/>
    <n v="58"/>
    <n v="2"/>
    <n v="2"/>
    <x v="1"/>
    <n v="2"/>
    <x v="2"/>
    <n v="2133"/>
    <n v="18115"/>
    <n v="1"/>
    <s v="Y"/>
    <x v="0"/>
    <n v="16"/>
    <n v="3"/>
    <n v="3"/>
    <n v="80"/>
    <n v="1"/>
    <n v="20"/>
    <n v="3"/>
    <n v="3"/>
    <n v="20"/>
    <n v="11"/>
    <n v="0"/>
    <n v="7"/>
  </r>
  <r>
    <x v="34"/>
    <x v="1"/>
    <x v="0"/>
    <n v="605"/>
    <x v="0"/>
    <n v="21"/>
    <n v="3"/>
    <x v="0"/>
    <x v="0"/>
    <x v="1374"/>
    <n v="4"/>
    <x v="0"/>
    <n v="72"/>
    <n v="3"/>
    <n v="4"/>
    <x v="5"/>
    <n v="4"/>
    <x v="1"/>
    <n v="17875"/>
    <n v="11761"/>
    <n v="4"/>
    <s v="Y"/>
    <x v="0"/>
    <n v="13"/>
    <n v="3"/>
    <n v="3"/>
    <n v="80"/>
    <n v="1"/>
    <n v="29"/>
    <n v="2"/>
    <n v="2"/>
    <n v="1"/>
    <n v="0"/>
    <n v="0"/>
    <n v="0"/>
  </r>
  <r>
    <x v="5"/>
    <x v="0"/>
    <x v="1"/>
    <n v="238"/>
    <x v="1"/>
    <n v="5"/>
    <n v="2"/>
    <x v="0"/>
    <x v="0"/>
    <x v="1375"/>
    <n v="1"/>
    <x v="0"/>
    <n v="47"/>
    <n v="4"/>
    <n v="1"/>
    <x v="1"/>
    <n v="3"/>
    <x v="0"/>
    <n v="2432"/>
    <n v="15318"/>
    <n v="3"/>
    <s v="Y"/>
    <x v="0"/>
    <n v="14"/>
    <n v="3"/>
    <n v="1"/>
    <n v="80"/>
    <n v="0"/>
    <n v="8"/>
    <n v="2"/>
    <n v="3"/>
    <n v="4"/>
    <n v="1"/>
    <n v="0"/>
    <n v="3"/>
  </r>
  <r>
    <x v="8"/>
    <x v="1"/>
    <x v="0"/>
    <n v="1206"/>
    <x v="1"/>
    <n v="9"/>
    <n v="2"/>
    <x v="0"/>
    <x v="0"/>
    <x v="1376"/>
    <n v="2"/>
    <x v="1"/>
    <n v="71"/>
    <n v="3"/>
    <n v="1"/>
    <x v="1"/>
    <n v="4"/>
    <x v="2"/>
    <n v="4771"/>
    <n v="14293"/>
    <n v="2"/>
    <s v="Y"/>
    <x v="1"/>
    <n v="19"/>
    <n v="3"/>
    <n v="4"/>
    <n v="80"/>
    <n v="2"/>
    <n v="10"/>
    <n v="0"/>
    <n v="4"/>
    <n v="5"/>
    <n v="2"/>
    <n v="0"/>
    <n v="3"/>
  </r>
  <r>
    <x v="1"/>
    <x v="1"/>
    <x v="1"/>
    <n v="1064"/>
    <x v="1"/>
    <n v="2"/>
    <n v="1"/>
    <x v="0"/>
    <x v="0"/>
    <x v="1377"/>
    <n v="2"/>
    <x v="1"/>
    <n v="42"/>
    <n v="3"/>
    <n v="5"/>
    <x v="7"/>
    <n v="4"/>
    <x v="1"/>
    <n v="19161"/>
    <n v="13738"/>
    <n v="3"/>
    <s v="Y"/>
    <x v="1"/>
    <n v="15"/>
    <n v="3"/>
    <n v="4"/>
    <n v="80"/>
    <n v="0"/>
    <n v="28"/>
    <n v="3"/>
    <n v="3"/>
    <n v="5"/>
    <n v="4"/>
    <n v="4"/>
    <n v="3"/>
  </r>
  <r>
    <x v="19"/>
    <x v="1"/>
    <x v="0"/>
    <n v="419"/>
    <x v="0"/>
    <n v="12"/>
    <n v="4"/>
    <x v="3"/>
    <x v="0"/>
    <x v="1378"/>
    <n v="2"/>
    <x v="1"/>
    <n v="77"/>
    <n v="3"/>
    <n v="2"/>
    <x v="0"/>
    <n v="4"/>
    <x v="2"/>
    <n v="5087"/>
    <n v="2900"/>
    <n v="3"/>
    <s v="Y"/>
    <x v="0"/>
    <n v="12"/>
    <n v="3"/>
    <n v="3"/>
    <n v="80"/>
    <n v="2"/>
    <n v="14"/>
    <n v="4"/>
    <n v="3"/>
    <n v="0"/>
    <n v="0"/>
    <n v="0"/>
    <n v="0"/>
  </r>
  <r>
    <x v="4"/>
    <x v="0"/>
    <x v="1"/>
    <n v="1337"/>
    <x v="2"/>
    <n v="22"/>
    <n v="3"/>
    <x v="5"/>
    <x v="0"/>
    <x v="1379"/>
    <n v="1"/>
    <x v="0"/>
    <n v="58"/>
    <n v="2"/>
    <n v="1"/>
    <x v="8"/>
    <n v="2"/>
    <x v="1"/>
    <n v="2863"/>
    <n v="19555"/>
    <n v="1"/>
    <s v="Y"/>
    <x v="1"/>
    <n v="12"/>
    <n v="3"/>
    <n v="1"/>
    <n v="80"/>
    <n v="0"/>
    <n v="1"/>
    <n v="2"/>
    <n v="3"/>
    <n v="1"/>
    <n v="0"/>
    <n v="0"/>
    <n v="0"/>
  </r>
  <r>
    <x v="10"/>
    <x v="1"/>
    <x v="0"/>
    <n v="682"/>
    <x v="0"/>
    <n v="18"/>
    <n v="4"/>
    <x v="2"/>
    <x v="0"/>
    <x v="1380"/>
    <n v="2"/>
    <x v="1"/>
    <n v="71"/>
    <n v="3"/>
    <n v="2"/>
    <x v="0"/>
    <n v="1"/>
    <x v="1"/>
    <n v="5561"/>
    <n v="15975"/>
    <n v="0"/>
    <s v="Y"/>
    <x v="1"/>
    <n v="16"/>
    <n v="3"/>
    <n v="4"/>
    <n v="80"/>
    <n v="1"/>
    <n v="6"/>
    <n v="2"/>
    <n v="1"/>
    <n v="5"/>
    <n v="3"/>
    <n v="0"/>
    <n v="4"/>
  </r>
  <r>
    <x v="14"/>
    <x v="1"/>
    <x v="2"/>
    <n v="1103"/>
    <x v="1"/>
    <n v="16"/>
    <n v="3"/>
    <x v="2"/>
    <x v="0"/>
    <x v="1381"/>
    <n v="3"/>
    <x v="1"/>
    <n v="49"/>
    <n v="3"/>
    <n v="1"/>
    <x v="1"/>
    <n v="3"/>
    <x v="0"/>
    <n v="2144"/>
    <n v="2122"/>
    <n v="1"/>
    <s v="Y"/>
    <x v="1"/>
    <n v="14"/>
    <n v="3"/>
    <n v="3"/>
    <n v="80"/>
    <n v="0"/>
    <n v="5"/>
    <n v="3"/>
    <n v="2"/>
    <n v="5"/>
    <n v="3"/>
    <n v="1"/>
    <n v="4"/>
  </r>
  <r>
    <x v="12"/>
    <x v="1"/>
    <x v="2"/>
    <n v="976"/>
    <x v="1"/>
    <n v="3"/>
    <n v="2"/>
    <x v="2"/>
    <x v="0"/>
    <x v="1382"/>
    <n v="3"/>
    <x v="1"/>
    <n v="48"/>
    <n v="3"/>
    <n v="1"/>
    <x v="1"/>
    <n v="1"/>
    <x v="2"/>
    <n v="3065"/>
    <n v="3995"/>
    <n v="1"/>
    <s v="Y"/>
    <x v="0"/>
    <n v="13"/>
    <n v="3"/>
    <n v="4"/>
    <n v="80"/>
    <n v="1"/>
    <n v="4"/>
    <n v="3"/>
    <n v="4"/>
    <n v="4"/>
    <n v="2"/>
    <n v="2"/>
    <n v="3"/>
  </r>
  <r>
    <x v="9"/>
    <x v="1"/>
    <x v="2"/>
    <n v="1351"/>
    <x v="1"/>
    <n v="9"/>
    <n v="4"/>
    <x v="0"/>
    <x v="0"/>
    <x v="1383"/>
    <n v="1"/>
    <x v="1"/>
    <n v="66"/>
    <n v="4"/>
    <n v="1"/>
    <x v="2"/>
    <n v="2"/>
    <x v="1"/>
    <n v="2810"/>
    <n v="9238"/>
    <n v="1"/>
    <s v="Y"/>
    <x v="1"/>
    <n v="22"/>
    <n v="4"/>
    <n v="2"/>
    <n v="80"/>
    <n v="0"/>
    <n v="5"/>
    <n v="3"/>
    <n v="3"/>
    <n v="5"/>
    <n v="4"/>
    <n v="0"/>
    <n v="2"/>
  </r>
  <r>
    <x v="13"/>
    <x v="1"/>
    <x v="0"/>
    <n v="937"/>
    <x v="0"/>
    <n v="1"/>
    <n v="3"/>
    <x v="3"/>
    <x v="0"/>
    <x v="1384"/>
    <n v="1"/>
    <x v="1"/>
    <n v="32"/>
    <n v="3"/>
    <n v="3"/>
    <x v="0"/>
    <n v="4"/>
    <x v="0"/>
    <n v="9888"/>
    <n v="6770"/>
    <n v="1"/>
    <s v="Y"/>
    <x v="1"/>
    <n v="21"/>
    <n v="4"/>
    <n v="1"/>
    <n v="80"/>
    <n v="0"/>
    <n v="14"/>
    <n v="3"/>
    <n v="2"/>
    <n v="14"/>
    <n v="8"/>
    <n v="2"/>
    <n v="1"/>
  </r>
  <r>
    <x v="13"/>
    <x v="1"/>
    <x v="0"/>
    <n v="1239"/>
    <x v="0"/>
    <n v="13"/>
    <n v="4"/>
    <x v="2"/>
    <x v="0"/>
    <x v="1385"/>
    <n v="4"/>
    <x v="1"/>
    <n v="39"/>
    <n v="3"/>
    <n v="3"/>
    <x v="0"/>
    <n v="3"/>
    <x v="2"/>
    <n v="8628"/>
    <n v="22914"/>
    <n v="1"/>
    <s v="Y"/>
    <x v="1"/>
    <n v="18"/>
    <n v="3"/>
    <n v="3"/>
    <n v="80"/>
    <n v="1"/>
    <n v="9"/>
    <n v="2"/>
    <n v="2"/>
    <n v="8"/>
    <n v="7"/>
    <n v="1"/>
    <n v="1"/>
  </r>
  <r>
    <x v="25"/>
    <x v="1"/>
    <x v="0"/>
    <n v="157"/>
    <x v="1"/>
    <n v="1"/>
    <n v="3"/>
    <x v="2"/>
    <x v="0"/>
    <x v="1386"/>
    <n v="3"/>
    <x v="1"/>
    <n v="95"/>
    <n v="3"/>
    <n v="1"/>
    <x v="2"/>
    <n v="1"/>
    <x v="0"/>
    <n v="2867"/>
    <n v="20006"/>
    <n v="0"/>
    <s v="Y"/>
    <x v="1"/>
    <n v="13"/>
    <n v="3"/>
    <n v="4"/>
    <n v="80"/>
    <n v="0"/>
    <n v="8"/>
    <n v="6"/>
    <n v="2"/>
    <n v="7"/>
    <n v="7"/>
    <n v="7"/>
    <n v="6"/>
  </r>
  <r>
    <x v="11"/>
    <x v="1"/>
    <x v="0"/>
    <n v="136"/>
    <x v="1"/>
    <n v="1"/>
    <n v="3"/>
    <x v="0"/>
    <x v="0"/>
    <x v="1387"/>
    <n v="1"/>
    <x v="1"/>
    <n v="89"/>
    <n v="3"/>
    <n v="2"/>
    <x v="4"/>
    <n v="1"/>
    <x v="1"/>
    <n v="5373"/>
    <n v="6225"/>
    <n v="0"/>
    <s v="Y"/>
    <x v="1"/>
    <n v="12"/>
    <n v="3"/>
    <n v="1"/>
    <n v="80"/>
    <n v="1"/>
    <n v="6"/>
    <n v="5"/>
    <n v="2"/>
    <n v="5"/>
    <n v="3"/>
    <n v="0"/>
    <n v="2"/>
  </r>
  <r>
    <x v="5"/>
    <x v="1"/>
    <x v="2"/>
    <n v="1146"/>
    <x v="1"/>
    <n v="15"/>
    <n v="4"/>
    <x v="2"/>
    <x v="0"/>
    <x v="1388"/>
    <n v="3"/>
    <x v="0"/>
    <n v="34"/>
    <n v="3"/>
    <n v="2"/>
    <x v="4"/>
    <n v="4"/>
    <x v="2"/>
    <n v="6667"/>
    <n v="16542"/>
    <n v="5"/>
    <s v="Y"/>
    <x v="1"/>
    <n v="18"/>
    <n v="3"/>
    <n v="2"/>
    <n v="80"/>
    <n v="1"/>
    <n v="9"/>
    <n v="6"/>
    <n v="3"/>
    <n v="5"/>
    <n v="1"/>
    <n v="1"/>
    <n v="2"/>
  </r>
  <r>
    <x v="12"/>
    <x v="1"/>
    <x v="1"/>
    <n v="1125"/>
    <x v="1"/>
    <n v="1"/>
    <n v="3"/>
    <x v="0"/>
    <x v="0"/>
    <x v="1389"/>
    <n v="4"/>
    <x v="1"/>
    <n v="48"/>
    <n v="1"/>
    <n v="2"/>
    <x v="1"/>
    <n v="1"/>
    <x v="1"/>
    <n v="5003"/>
    <n v="5771"/>
    <n v="1"/>
    <s v="Y"/>
    <x v="1"/>
    <n v="21"/>
    <n v="4"/>
    <n v="2"/>
    <n v="80"/>
    <n v="0"/>
    <n v="10"/>
    <n v="6"/>
    <n v="3"/>
    <n v="10"/>
    <n v="8"/>
    <n v="8"/>
    <n v="7"/>
  </r>
  <r>
    <x v="14"/>
    <x v="0"/>
    <x v="0"/>
    <n v="1404"/>
    <x v="1"/>
    <n v="17"/>
    <n v="3"/>
    <x v="4"/>
    <x v="0"/>
    <x v="1390"/>
    <n v="3"/>
    <x v="1"/>
    <n v="32"/>
    <n v="2"/>
    <n v="1"/>
    <x v="2"/>
    <n v="4"/>
    <x v="2"/>
    <n v="2367"/>
    <n v="18779"/>
    <n v="5"/>
    <s v="Y"/>
    <x v="1"/>
    <n v="12"/>
    <n v="3"/>
    <n v="1"/>
    <n v="80"/>
    <n v="1"/>
    <n v="6"/>
    <n v="2"/>
    <n v="2"/>
    <n v="4"/>
    <n v="1"/>
    <n v="0"/>
    <n v="3"/>
  </r>
  <r>
    <x v="8"/>
    <x v="1"/>
    <x v="0"/>
    <n v="1404"/>
    <x v="0"/>
    <n v="1"/>
    <n v="3"/>
    <x v="0"/>
    <x v="0"/>
    <x v="1391"/>
    <n v="1"/>
    <x v="1"/>
    <n v="59"/>
    <n v="2"/>
    <n v="1"/>
    <x v="6"/>
    <n v="1"/>
    <x v="0"/>
    <n v="2858"/>
    <n v="11473"/>
    <n v="4"/>
    <s v="Y"/>
    <x v="1"/>
    <n v="14"/>
    <n v="3"/>
    <n v="1"/>
    <n v="80"/>
    <n v="0"/>
    <n v="20"/>
    <n v="3"/>
    <n v="2"/>
    <n v="1"/>
    <n v="0"/>
    <n v="0"/>
    <n v="0"/>
  </r>
  <r>
    <x v="10"/>
    <x v="1"/>
    <x v="0"/>
    <n v="1224"/>
    <x v="0"/>
    <n v="7"/>
    <n v="4"/>
    <x v="0"/>
    <x v="0"/>
    <x v="1392"/>
    <n v="3"/>
    <x v="0"/>
    <n v="55"/>
    <n v="3"/>
    <n v="2"/>
    <x v="0"/>
    <n v="4"/>
    <x v="1"/>
    <n v="5204"/>
    <n v="13586"/>
    <n v="1"/>
    <s v="Y"/>
    <x v="0"/>
    <n v="11"/>
    <n v="3"/>
    <n v="4"/>
    <n v="80"/>
    <n v="0"/>
    <n v="10"/>
    <n v="2"/>
    <n v="3"/>
    <n v="10"/>
    <n v="8"/>
    <n v="0"/>
    <n v="9"/>
  </r>
  <r>
    <x v="4"/>
    <x v="1"/>
    <x v="0"/>
    <n v="954"/>
    <x v="0"/>
    <n v="9"/>
    <n v="3"/>
    <x v="3"/>
    <x v="0"/>
    <x v="1393"/>
    <n v="4"/>
    <x v="1"/>
    <n v="44"/>
    <n v="3"/>
    <n v="2"/>
    <x v="0"/>
    <n v="4"/>
    <x v="0"/>
    <n v="4105"/>
    <n v="5099"/>
    <n v="1"/>
    <s v="Y"/>
    <x v="1"/>
    <n v="14"/>
    <n v="3"/>
    <n v="1"/>
    <n v="80"/>
    <n v="0"/>
    <n v="7"/>
    <n v="5"/>
    <n v="3"/>
    <n v="7"/>
    <n v="7"/>
    <n v="0"/>
    <n v="7"/>
  </r>
  <r>
    <x v="5"/>
    <x v="1"/>
    <x v="0"/>
    <n v="1373"/>
    <x v="1"/>
    <n v="5"/>
    <n v="4"/>
    <x v="0"/>
    <x v="0"/>
    <x v="1394"/>
    <n v="4"/>
    <x v="1"/>
    <n v="56"/>
    <n v="2"/>
    <n v="2"/>
    <x v="3"/>
    <n v="4"/>
    <x v="0"/>
    <n v="9679"/>
    <n v="10138"/>
    <n v="8"/>
    <s v="Y"/>
    <x v="1"/>
    <n v="24"/>
    <n v="4"/>
    <n v="2"/>
    <n v="80"/>
    <n v="0"/>
    <n v="8"/>
    <n v="1"/>
    <n v="3"/>
    <n v="1"/>
    <n v="0"/>
    <n v="0"/>
    <n v="0"/>
  </r>
  <r>
    <x v="12"/>
    <x v="0"/>
    <x v="1"/>
    <n v="754"/>
    <x v="0"/>
    <n v="26"/>
    <n v="4"/>
    <x v="3"/>
    <x v="0"/>
    <x v="1395"/>
    <n v="1"/>
    <x v="1"/>
    <n v="63"/>
    <n v="3"/>
    <n v="2"/>
    <x v="0"/>
    <n v="4"/>
    <x v="1"/>
    <n v="5617"/>
    <n v="21075"/>
    <n v="1"/>
    <s v="Y"/>
    <x v="0"/>
    <n v="11"/>
    <n v="3"/>
    <n v="3"/>
    <n v="80"/>
    <n v="0"/>
    <n v="10"/>
    <n v="4"/>
    <n v="3"/>
    <n v="10"/>
    <n v="7"/>
    <n v="0"/>
    <n v="8"/>
  </r>
  <r>
    <x v="16"/>
    <x v="0"/>
    <x v="0"/>
    <n v="1168"/>
    <x v="0"/>
    <n v="24"/>
    <n v="4"/>
    <x v="0"/>
    <x v="0"/>
    <x v="1396"/>
    <n v="1"/>
    <x v="1"/>
    <n v="66"/>
    <n v="3"/>
    <n v="3"/>
    <x v="0"/>
    <n v="1"/>
    <x v="0"/>
    <n v="10448"/>
    <n v="5843"/>
    <n v="6"/>
    <s v="Y"/>
    <x v="0"/>
    <n v="13"/>
    <n v="3"/>
    <n v="2"/>
    <n v="80"/>
    <n v="0"/>
    <n v="15"/>
    <n v="2"/>
    <n v="2"/>
    <n v="2"/>
    <n v="2"/>
    <n v="2"/>
    <n v="2"/>
  </r>
  <r>
    <x v="33"/>
    <x v="1"/>
    <x v="0"/>
    <n v="155"/>
    <x v="1"/>
    <n v="9"/>
    <n v="2"/>
    <x v="0"/>
    <x v="0"/>
    <x v="1397"/>
    <n v="1"/>
    <x v="0"/>
    <n v="67"/>
    <n v="3"/>
    <n v="2"/>
    <x v="1"/>
    <n v="3"/>
    <x v="1"/>
    <n v="2897"/>
    <n v="22474"/>
    <n v="3"/>
    <s v="Y"/>
    <x v="1"/>
    <n v="11"/>
    <n v="3"/>
    <n v="3"/>
    <n v="80"/>
    <n v="2"/>
    <n v="9"/>
    <n v="6"/>
    <n v="2"/>
    <n v="4"/>
    <n v="3"/>
    <n v="2"/>
    <n v="3"/>
  </r>
  <r>
    <x v="3"/>
    <x v="1"/>
    <x v="1"/>
    <n v="1303"/>
    <x v="1"/>
    <n v="7"/>
    <n v="2"/>
    <x v="0"/>
    <x v="0"/>
    <x v="1398"/>
    <n v="4"/>
    <x v="1"/>
    <n v="36"/>
    <n v="3"/>
    <n v="2"/>
    <x v="4"/>
    <n v="3"/>
    <x v="2"/>
    <n v="5968"/>
    <n v="18079"/>
    <n v="1"/>
    <s v="Y"/>
    <x v="1"/>
    <n v="20"/>
    <n v="4"/>
    <n v="3"/>
    <n v="80"/>
    <n v="3"/>
    <n v="9"/>
    <n v="2"/>
    <n v="3"/>
    <n v="9"/>
    <n v="7"/>
    <n v="2"/>
    <n v="8"/>
  </r>
  <r>
    <x v="23"/>
    <x v="1"/>
    <x v="0"/>
    <n v="574"/>
    <x v="1"/>
    <n v="11"/>
    <n v="3"/>
    <x v="0"/>
    <x v="0"/>
    <x v="1399"/>
    <n v="1"/>
    <x v="1"/>
    <n v="30"/>
    <n v="3"/>
    <n v="3"/>
    <x v="4"/>
    <n v="3"/>
    <x v="1"/>
    <n v="7510"/>
    <n v="16873"/>
    <n v="1"/>
    <s v="Y"/>
    <x v="1"/>
    <n v="17"/>
    <n v="3"/>
    <n v="2"/>
    <n v="80"/>
    <n v="1"/>
    <n v="10"/>
    <n v="1"/>
    <n v="3"/>
    <n v="10"/>
    <n v="9"/>
    <n v="0"/>
    <n v="9"/>
  </r>
  <r>
    <x v="8"/>
    <x v="1"/>
    <x v="1"/>
    <n v="1444"/>
    <x v="2"/>
    <n v="1"/>
    <n v="4"/>
    <x v="1"/>
    <x v="0"/>
    <x v="1400"/>
    <n v="4"/>
    <x v="1"/>
    <n v="88"/>
    <n v="3"/>
    <n v="1"/>
    <x v="8"/>
    <n v="2"/>
    <x v="1"/>
    <n v="2991"/>
    <n v="5224"/>
    <n v="0"/>
    <s v="Y"/>
    <x v="0"/>
    <n v="11"/>
    <n v="3"/>
    <n v="2"/>
    <n v="80"/>
    <n v="1"/>
    <n v="7"/>
    <n v="2"/>
    <n v="3"/>
    <n v="6"/>
    <n v="2"/>
    <n v="1"/>
    <n v="2"/>
  </r>
  <r>
    <x v="27"/>
    <x v="1"/>
    <x v="0"/>
    <n v="189"/>
    <x v="2"/>
    <n v="26"/>
    <n v="4"/>
    <x v="5"/>
    <x v="0"/>
    <x v="1401"/>
    <n v="3"/>
    <x v="1"/>
    <n v="71"/>
    <n v="4"/>
    <n v="5"/>
    <x v="5"/>
    <n v="2"/>
    <x v="1"/>
    <n v="19636"/>
    <n v="25811"/>
    <n v="4"/>
    <s v="Y"/>
    <x v="0"/>
    <n v="18"/>
    <n v="3"/>
    <n v="1"/>
    <n v="80"/>
    <n v="1"/>
    <n v="35"/>
    <n v="0"/>
    <n v="3"/>
    <n v="10"/>
    <n v="9"/>
    <n v="1"/>
    <n v="4"/>
  </r>
  <r>
    <x v="12"/>
    <x v="1"/>
    <x v="0"/>
    <n v="1276"/>
    <x v="1"/>
    <n v="2"/>
    <n v="1"/>
    <x v="2"/>
    <x v="0"/>
    <x v="1402"/>
    <n v="4"/>
    <x v="0"/>
    <n v="59"/>
    <n v="1"/>
    <n v="1"/>
    <x v="2"/>
    <n v="4"/>
    <x v="2"/>
    <n v="1129"/>
    <n v="17536"/>
    <n v="1"/>
    <s v="Y"/>
    <x v="0"/>
    <n v="11"/>
    <n v="3"/>
    <n v="3"/>
    <n v="80"/>
    <n v="3"/>
    <n v="1"/>
    <n v="4"/>
    <n v="3"/>
    <n v="1"/>
    <n v="0"/>
    <n v="0"/>
    <n v="0"/>
  </r>
  <r>
    <x v="22"/>
    <x v="1"/>
    <x v="0"/>
    <n v="119"/>
    <x v="0"/>
    <n v="15"/>
    <n v="4"/>
    <x v="3"/>
    <x v="0"/>
    <x v="1403"/>
    <n v="2"/>
    <x v="1"/>
    <n v="77"/>
    <n v="3"/>
    <n v="4"/>
    <x v="0"/>
    <n v="1"/>
    <x v="0"/>
    <n v="13341"/>
    <n v="25098"/>
    <n v="0"/>
    <s v="Y"/>
    <x v="1"/>
    <n v="12"/>
    <n v="3"/>
    <n v="1"/>
    <n v="80"/>
    <n v="0"/>
    <n v="21"/>
    <n v="3"/>
    <n v="3"/>
    <n v="20"/>
    <n v="8"/>
    <n v="11"/>
    <n v="10"/>
  </r>
  <r>
    <x v="19"/>
    <x v="1"/>
    <x v="2"/>
    <n v="335"/>
    <x v="1"/>
    <n v="23"/>
    <n v="2"/>
    <x v="0"/>
    <x v="0"/>
    <x v="1404"/>
    <n v="4"/>
    <x v="1"/>
    <n v="37"/>
    <n v="2"/>
    <n v="2"/>
    <x v="1"/>
    <n v="3"/>
    <x v="0"/>
    <n v="4332"/>
    <n v="14811"/>
    <n v="1"/>
    <s v="Y"/>
    <x v="1"/>
    <n v="12"/>
    <n v="3"/>
    <n v="4"/>
    <n v="80"/>
    <n v="0"/>
    <n v="20"/>
    <n v="2"/>
    <n v="3"/>
    <n v="20"/>
    <n v="9"/>
    <n v="3"/>
    <n v="7"/>
  </r>
  <r>
    <x v="12"/>
    <x v="1"/>
    <x v="2"/>
    <n v="697"/>
    <x v="1"/>
    <n v="10"/>
    <n v="3"/>
    <x v="2"/>
    <x v="0"/>
    <x v="1405"/>
    <n v="3"/>
    <x v="0"/>
    <n v="40"/>
    <n v="3"/>
    <n v="3"/>
    <x v="7"/>
    <n v="3"/>
    <x v="1"/>
    <n v="11031"/>
    <n v="26862"/>
    <n v="4"/>
    <s v="Y"/>
    <x v="1"/>
    <n v="20"/>
    <n v="4"/>
    <n v="3"/>
    <n v="80"/>
    <n v="1"/>
    <n v="13"/>
    <n v="2"/>
    <n v="4"/>
    <n v="11"/>
    <n v="7"/>
    <n v="4"/>
    <n v="8"/>
  </r>
  <r>
    <x v="33"/>
    <x v="1"/>
    <x v="0"/>
    <n v="157"/>
    <x v="1"/>
    <n v="10"/>
    <n v="3"/>
    <x v="2"/>
    <x v="0"/>
    <x v="1406"/>
    <n v="3"/>
    <x v="0"/>
    <n v="77"/>
    <n v="3"/>
    <n v="2"/>
    <x v="3"/>
    <n v="1"/>
    <x v="0"/>
    <n v="4440"/>
    <n v="25198"/>
    <n v="6"/>
    <s v="Y"/>
    <x v="0"/>
    <n v="19"/>
    <n v="3"/>
    <n v="4"/>
    <n v="80"/>
    <n v="0"/>
    <n v="9"/>
    <n v="3"/>
    <n v="3"/>
    <n v="5"/>
    <n v="2"/>
    <n v="1"/>
    <n v="4"/>
  </r>
  <r>
    <x v="17"/>
    <x v="1"/>
    <x v="0"/>
    <n v="771"/>
    <x v="1"/>
    <n v="1"/>
    <n v="2"/>
    <x v="0"/>
    <x v="0"/>
    <x v="1407"/>
    <n v="2"/>
    <x v="1"/>
    <n v="45"/>
    <n v="2"/>
    <n v="2"/>
    <x v="4"/>
    <n v="3"/>
    <x v="0"/>
    <n v="4617"/>
    <n v="14120"/>
    <n v="1"/>
    <s v="Y"/>
    <x v="1"/>
    <n v="12"/>
    <n v="3"/>
    <n v="2"/>
    <n v="80"/>
    <n v="0"/>
    <n v="4"/>
    <n v="2"/>
    <n v="2"/>
    <n v="4"/>
    <n v="3"/>
    <n v="1"/>
    <n v="2"/>
  </r>
  <r>
    <x v="30"/>
    <x v="1"/>
    <x v="0"/>
    <n v="571"/>
    <x v="1"/>
    <n v="12"/>
    <n v="2"/>
    <x v="1"/>
    <x v="0"/>
    <x v="1408"/>
    <n v="4"/>
    <x v="1"/>
    <n v="78"/>
    <n v="3"/>
    <n v="1"/>
    <x v="2"/>
    <n v="4"/>
    <x v="0"/>
    <n v="2647"/>
    <n v="13672"/>
    <n v="1"/>
    <s v="Y"/>
    <x v="1"/>
    <n v="13"/>
    <n v="3"/>
    <n v="3"/>
    <n v="80"/>
    <n v="0"/>
    <n v="5"/>
    <n v="6"/>
    <n v="4"/>
    <n v="5"/>
    <n v="2"/>
    <n v="1"/>
    <n v="4"/>
  </r>
  <r>
    <x v="32"/>
    <x v="1"/>
    <x v="1"/>
    <n v="692"/>
    <x v="1"/>
    <n v="11"/>
    <n v="3"/>
    <x v="4"/>
    <x v="0"/>
    <x v="1409"/>
    <n v="4"/>
    <x v="0"/>
    <n v="73"/>
    <n v="3"/>
    <n v="2"/>
    <x v="2"/>
    <n v="3"/>
    <x v="1"/>
    <n v="6323"/>
    <n v="26849"/>
    <n v="1"/>
    <s v="Y"/>
    <x v="1"/>
    <n v="11"/>
    <n v="3"/>
    <n v="1"/>
    <n v="80"/>
    <n v="1"/>
    <n v="10"/>
    <n v="2"/>
    <n v="4"/>
    <n v="10"/>
    <n v="9"/>
    <n v="9"/>
    <n v="4"/>
  </r>
  <r>
    <x v="32"/>
    <x v="1"/>
    <x v="0"/>
    <n v="444"/>
    <x v="0"/>
    <n v="2"/>
    <n v="2"/>
    <x v="3"/>
    <x v="0"/>
    <x v="1410"/>
    <n v="2"/>
    <x v="0"/>
    <n v="92"/>
    <n v="3"/>
    <n v="2"/>
    <x v="0"/>
    <n v="2"/>
    <x v="1"/>
    <n v="5677"/>
    <n v="4258"/>
    <n v="3"/>
    <s v="Y"/>
    <x v="1"/>
    <n v="14"/>
    <n v="3"/>
    <n v="3"/>
    <n v="80"/>
    <n v="1"/>
    <n v="15"/>
    <n v="4"/>
    <n v="3"/>
    <n v="11"/>
    <n v="8"/>
    <n v="5"/>
    <n v="10"/>
  </r>
  <r>
    <x v="36"/>
    <x v="1"/>
    <x v="0"/>
    <n v="309"/>
    <x v="2"/>
    <n v="2"/>
    <n v="3"/>
    <x v="5"/>
    <x v="0"/>
    <x v="1411"/>
    <n v="3"/>
    <x v="0"/>
    <n v="82"/>
    <n v="3"/>
    <n v="1"/>
    <x v="8"/>
    <n v="2"/>
    <x v="1"/>
    <n v="2187"/>
    <n v="19655"/>
    <n v="4"/>
    <s v="Y"/>
    <x v="1"/>
    <n v="14"/>
    <n v="3"/>
    <n v="3"/>
    <n v="80"/>
    <n v="0"/>
    <n v="6"/>
    <n v="3"/>
    <n v="3"/>
    <n v="2"/>
    <n v="0"/>
    <n v="1"/>
    <n v="2"/>
  </r>
  <r>
    <x v="7"/>
    <x v="1"/>
    <x v="0"/>
    <n v="911"/>
    <x v="1"/>
    <n v="1"/>
    <n v="2"/>
    <x v="2"/>
    <x v="0"/>
    <x v="1412"/>
    <n v="4"/>
    <x v="1"/>
    <n v="76"/>
    <n v="3"/>
    <n v="1"/>
    <x v="2"/>
    <n v="2"/>
    <x v="1"/>
    <n v="3748"/>
    <n v="4077"/>
    <n v="1"/>
    <s v="Y"/>
    <x v="1"/>
    <n v="13"/>
    <n v="3"/>
    <n v="3"/>
    <n v="80"/>
    <n v="0"/>
    <n v="12"/>
    <n v="6"/>
    <n v="2"/>
    <n v="12"/>
    <n v="8"/>
    <n v="1"/>
    <n v="7"/>
  </r>
  <r>
    <x v="36"/>
    <x v="1"/>
    <x v="0"/>
    <n v="977"/>
    <x v="1"/>
    <n v="2"/>
    <n v="1"/>
    <x v="1"/>
    <x v="0"/>
    <x v="1413"/>
    <n v="4"/>
    <x v="1"/>
    <n v="57"/>
    <n v="3"/>
    <n v="1"/>
    <x v="2"/>
    <n v="3"/>
    <x v="2"/>
    <n v="3977"/>
    <n v="7298"/>
    <n v="6"/>
    <s v="Y"/>
    <x v="0"/>
    <n v="19"/>
    <n v="3"/>
    <n v="3"/>
    <n v="80"/>
    <n v="1"/>
    <n v="7"/>
    <n v="2"/>
    <n v="2"/>
    <n v="2"/>
    <n v="2"/>
    <n v="0"/>
    <n v="2"/>
  </r>
  <r>
    <x v="40"/>
    <x v="1"/>
    <x v="0"/>
    <n v="1180"/>
    <x v="1"/>
    <n v="25"/>
    <n v="3"/>
    <x v="2"/>
    <x v="0"/>
    <x v="1414"/>
    <n v="1"/>
    <x v="1"/>
    <n v="84"/>
    <n v="3"/>
    <n v="3"/>
    <x v="4"/>
    <n v="3"/>
    <x v="0"/>
    <n v="8633"/>
    <n v="13084"/>
    <n v="2"/>
    <s v="Y"/>
    <x v="1"/>
    <n v="23"/>
    <n v="4"/>
    <n v="2"/>
    <n v="80"/>
    <n v="0"/>
    <n v="25"/>
    <n v="3"/>
    <n v="3"/>
    <n v="17"/>
    <n v="14"/>
    <n v="12"/>
    <n v="11"/>
  </r>
  <r>
    <x v="3"/>
    <x v="1"/>
    <x v="2"/>
    <n v="1313"/>
    <x v="1"/>
    <n v="1"/>
    <n v="2"/>
    <x v="2"/>
    <x v="0"/>
    <x v="1415"/>
    <n v="2"/>
    <x v="1"/>
    <n v="59"/>
    <n v="2"/>
    <n v="1"/>
    <x v="2"/>
    <n v="3"/>
    <x v="2"/>
    <n v="2008"/>
    <n v="20439"/>
    <n v="1"/>
    <s v="Y"/>
    <x v="1"/>
    <n v="12"/>
    <n v="3"/>
    <n v="3"/>
    <n v="80"/>
    <n v="3"/>
    <n v="1"/>
    <n v="2"/>
    <n v="2"/>
    <n v="1"/>
    <n v="1"/>
    <n v="0"/>
    <n v="0"/>
  </r>
  <r>
    <x v="8"/>
    <x v="1"/>
    <x v="0"/>
    <n v="1321"/>
    <x v="0"/>
    <n v="1"/>
    <n v="4"/>
    <x v="0"/>
    <x v="0"/>
    <x v="1416"/>
    <n v="4"/>
    <x v="1"/>
    <n v="86"/>
    <n v="3"/>
    <n v="2"/>
    <x v="0"/>
    <n v="2"/>
    <x v="1"/>
    <n v="4440"/>
    <n v="7636"/>
    <n v="0"/>
    <s v="Y"/>
    <x v="1"/>
    <n v="15"/>
    <n v="3"/>
    <n v="1"/>
    <n v="80"/>
    <n v="2"/>
    <n v="16"/>
    <n v="3"/>
    <n v="3"/>
    <n v="15"/>
    <n v="13"/>
    <n v="5"/>
    <n v="8"/>
  </r>
  <r>
    <x v="12"/>
    <x v="1"/>
    <x v="0"/>
    <n v="1154"/>
    <x v="0"/>
    <n v="2"/>
    <n v="2"/>
    <x v="0"/>
    <x v="0"/>
    <x v="1417"/>
    <n v="1"/>
    <x v="1"/>
    <n v="54"/>
    <n v="3"/>
    <n v="1"/>
    <x v="6"/>
    <n v="3"/>
    <x v="1"/>
    <n v="3067"/>
    <n v="6393"/>
    <n v="0"/>
    <s v="Y"/>
    <x v="1"/>
    <n v="19"/>
    <n v="3"/>
    <n v="3"/>
    <n v="80"/>
    <n v="1"/>
    <n v="3"/>
    <n v="1"/>
    <n v="3"/>
    <n v="2"/>
    <n v="2"/>
    <n v="1"/>
    <n v="2"/>
  </r>
  <r>
    <x v="8"/>
    <x v="1"/>
    <x v="1"/>
    <n v="508"/>
    <x v="1"/>
    <n v="6"/>
    <n v="4"/>
    <x v="0"/>
    <x v="0"/>
    <x v="1418"/>
    <n v="1"/>
    <x v="1"/>
    <n v="72"/>
    <n v="2"/>
    <n v="2"/>
    <x v="3"/>
    <n v="3"/>
    <x v="1"/>
    <n v="5321"/>
    <n v="14284"/>
    <n v="2"/>
    <s v="Y"/>
    <x v="1"/>
    <n v="11"/>
    <n v="3"/>
    <n v="4"/>
    <n v="80"/>
    <n v="1"/>
    <n v="10"/>
    <n v="1"/>
    <n v="3"/>
    <n v="8"/>
    <n v="3"/>
    <n v="7"/>
    <n v="7"/>
  </r>
  <r>
    <x v="19"/>
    <x v="1"/>
    <x v="0"/>
    <n v="557"/>
    <x v="1"/>
    <n v="18"/>
    <n v="4"/>
    <x v="0"/>
    <x v="0"/>
    <x v="1419"/>
    <n v="4"/>
    <x v="1"/>
    <n v="35"/>
    <n v="3"/>
    <n v="2"/>
    <x v="1"/>
    <n v="1"/>
    <x v="2"/>
    <n v="5410"/>
    <n v="11189"/>
    <n v="6"/>
    <s v="Y"/>
    <x v="0"/>
    <n v="17"/>
    <n v="3"/>
    <n v="3"/>
    <n v="80"/>
    <n v="1"/>
    <n v="9"/>
    <n v="3"/>
    <n v="2"/>
    <n v="4"/>
    <n v="3"/>
    <n v="1"/>
    <n v="2"/>
  </r>
  <r>
    <x v="0"/>
    <x v="1"/>
    <x v="0"/>
    <n v="642"/>
    <x v="1"/>
    <n v="1"/>
    <n v="3"/>
    <x v="0"/>
    <x v="0"/>
    <x v="1420"/>
    <n v="4"/>
    <x v="1"/>
    <n v="76"/>
    <n v="3"/>
    <n v="1"/>
    <x v="1"/>
    <n v="4"/>
    <x v="1"/>
    <n v="2782"/>
    <n v="21412"/>
    <n v="3"/>
    <s v="Y"/>
    <x v="1"/>
    <n v="22"/>
    <n v="4"/>
    <n v="1"/>
    <n v="80"/>
    <n v="1"/>
    <n v="12"/>
    <n v="3"/>
    <n v="3"/>
    <n v="5"/>
    <n v="3"/>
    <n v="1"/>
    <n v="0"/>
  </r>
  <r>
    <x v="40"/>
    <x v="1"/>
    <x v="2"/>
    <n v="1162"/>
    <x v="1"/>
    <n v="1"/>
    <n v="1"/>
    <x v="2"/>
    <x v="0"/>
    <x v="1421"/>
    <n v="3"/>
    <x v="0"/>
    <n v="98"/>
    <n v="3"/>
    <n v="3"/>
    <x v="7"/>
    <n v="2"/>
    <x v="1"/>
    <n v="11957"/>
    <n v="17231"/>
    <n v="0"/>
    <s v="Y"/>
    <x v="1"/>
    <n v="18"/>
    <n v="3"/>
    <n v="1"/>
    <n v="80"/>
    <n v="2"/>
    <n v="14"/>
    <n v="3"/>
    <n v="1"/>
    <n v="13"/>
    <n v="8"/>
    <n v="5"/>
    <n v="12"/>
  </r>
  <r>
    <x v="10"/>
    <x v="1"/>
    <x v="0"/>
    <n v="1490"/>
    <x v="1"/>
    <n v="11"/>
    <n v="4"/>
    <x v="2"/>
    <x v="0"/>
    <x v="1422"/>
    <n v="4"/>
    <x v="1"/>
    <n v="43"/>
    <n v="3"/>
    <n v="1"/>
    <x v="2"/>
    <n v="3"/>
    <x v="1"/>
    <n v="2660"/>
    <n v="20232"/>
    <n v="7"/>
    <s v="Y"/>
    <x v="0"/>
    <n v="11"/>
    <n v="3"/>
    <n v="3"/>
    <n v="80"/>
    <n v="1"/>
    <n v="5"/>
    <n v="3"/>
    <n v="3"/>
    <n v="2"/>
    <n v="2"/>
    <n v="2"/>
    <n v="2"/>
  </r>
  <r>
    <x v="15"/>
    <x v="1"/>
    <x v="0"/>
    <n v="581"/>
    <x v="1"/>
    <n v="1"/>
    <n v="2"/>
    <x v="0"/>
    <x v="0"/>
    <x v="1423"/>
    <n v="4"/>
    <x v="1"/>
    <n v="63"/>
    <n v="3"/>
    <n v="1"/>
    <x v="1"/>
    <n v="3"/>
    <x v="0"/>
    <n v="3375"/>
    <n v="17624"/>
    <n v="0"/>
    <s v="Y"/>
    <x v="1"/>
    <n v="12"/>
    <n v="3"/>
    <n v="4"/>
    <n v="80"/>
    <n v="0"/>
    <n v="4"/>
    <n v="2"/>
    <n v="4"/>
    <n v="3"/>
    <n v="2"/>
    <n v="1"/>
    <n v="2"/>
  </r>
  <r>
    <x v="10"/>
    <x v="1"/>
    <x v="0"/>
    <n v="1395"/>
    <x v="1"/>
    <n v="9"/>
    <n v="4"/>
    <x v="2"/>
    <x v="0"/>
    <x v="1424"/>
    <n v="2"/>
    <x v="1"/>
    <n v="48"/>
    <n v="3"/>
    <n v="2"/>
    <x v="1"/>
    <n v="3"/>
    <x v="0"/>
    <n v="5098"/>
    <n v="18698"/>
    <n v="1"/>
    <s v="Y"/>
    <x v="1"/>
    <n v="19"/>
    <n v="3"/>
    <n v="2"/>
    <n v="80"/>
    <n v="0"/>
    <n v="10"/>
    <n v="5"/>
    <n v="3"/>
    <n v="10"/>
    <n v="7"/>
    <n v="0"/>
    <n v="8"/>
  </r>
  <r>
    <x v="3"/>
    <x v="1"/>
    <x v="0"/>
    <n v="501"/>
    <x v="1"/>
    <n v="15"/>
    <n v="2"/>
    <x v="2"/>
    <x v="0"/>
    <x v="1425"/>
    <n v="2"/>
    <x v="0"/>
    <n v="95"/>
    <n v="3"/>
    <n v="2"/>
    <x v="4"/>
    <n v="4"/>
    <x v="1"/>
    <n v="4878"/>
    <n v="21653"/>
    <n v="0"/>
    <s v="Y"/>
    <x v="0"/>
    <n v="13"/>
    <n v="3"/>
    <n v="1"/>
    <n v="80"/>
    <n v="1"/>
    <n v="10"/>
    <n v="6"/>
    <n v="3"/>
    <n v="9"/>
    <n v="7"/>
    <n v="8"/>
    <n v="1"/>
  </r>
  <r>
    <x v="5"/>
    <x v="1"/>
    <x v="0"/>
    <n v="267"/>
    <x v="1"/>
    <n v="29"/>
    <n v="4"/>
    <x v="0"/>
    <x v="0"/>
    <x v="1426"/>
    <n v="3"/>
    <x v="0"/>
    <n v="49"/>
    <n v="2"/>
    <n v="1"/>
    <x v="2"/>
    <n v="2"/>
    <x v="0"/>
    <n v="2837"/>
    <n v="15919"/>
    <n v="1"/>
    <s v="Y"/>
    <x v="1"/>
    <n v="13"/>
    <n v="3"/>
    <n v="3"/>
    <n v="80"/>
    <n v="0"/>
    <n v="6"/>
    <n v="3"/>
    <n v="3"/>
    <n v="6"/>
    <n v="2"/>
    <n v="4"/>
    <n v="1"/>
  </r>
  <r>
    <x v="32"/>
    <x v="1"/>
    <x v="0"/>
    <n v="543"/>
    <x v="1"/>
    <n v="1"/>
    <n v="4"/>
    <x v="0"/>
    <x v="0"/>
    <x v="1427"/>
    <n v="1"/>
    <x v="1"/>
    <n v="83"/>
    <n v="3"/>
    <n v="1"/>
    <x v="2"/>
    <n v="4"/>
    <x v="1"/>
    <n v="2406"/>
    <n v="4060"/>
    <n v="8"/>
    <s v="Y"/>
    <x v="1"/>
    <n v="19"/>
    <n v="3"/>
    <n v="3"/>
    <n v="80"/>
    <n v="2"/>
    <n v="8"/>
    <n v="3"/>
    <n v="2"/>
    <n v="1"/>
    <n v="0"/>
    <n v="0"/>
    <n v="0"/>
  </r>
  <r>
    <x v="5"/>
    <x v="1"/>
    <x v="0"/>
    <n v="234"/>
    <x v="0"/>
    <n v="1"/>
    <n v="4"/>
    <x v="2"/>
    <x v="0"/>
    <x v="1428"/>
    <n v="2"/>
    <x v="1"/>
    <n v="68"/>
    <n v="2"/>
    <n v="1"/>
    <x v="6"/>
    <n v="2"/>
    <x v="1"/>
    <n v="2269"/>
    <n v="18024"/>
    <n v="0"/>
    <s v="Y"/>
    <x v="1"/>
    <n v="14"/>
    <n v="3"/>
    <n v="2"/>
    <n v="80"/>
    <n v="1"/>
    <n v="3"/>
    <n v="2"/>
    <n v="3"/>
    <n v="2"/>
    <n v="2"/>
    <n v="2"/>
    <n v="2"/>
  </r>
  <r>
    <x v="22"/>
    <x v="1"/>
    <x v="0"/>
    <n v="116"/>
    <x v="1"/>
    <n v="24"/>
    <n v="1"/>
    <x v="0"/>
    <x v="0"/>
    <x v="1429"/>
    <n v="1"/>
    <x v="1"/>
    <n v="52"/>
    <n v="3"/>
    <n v="2"/>
    <x v="1"/>
    <n v="4"/>
    <x v="0"/>
    <n v="4108"/>
    <n v="5340"/>
    <n v="7"/>
    <s v="Y"/>
    <x v="1"/>
    <n v="13"/>
    <n v="3"/>
    <n v="1"/>
    <n v="80"/>
    <n v="0"/>
    <n v="18"/>
    <n v="2"/>
    <n v="3"/>
    <n v="7"/>
    <n v="7"/>
    <n v="1"/>
    <n v="7"/>
  </r>
  <r>
    <x v="8"/>
    <x v="1"/>
    <x v="0"/>
    <n v="201"/>
    <x v="1"/>
    <n v="10"/>
    <n v="3"/>
    <x v="2"/>
    <x v="0"/>
    <x v="1430"/>
    <n v="2"/>
    <x v="0"/>
    <n v="99"/>
    <n v="1"/>
    <n v="3"/>
    <x v="7"/>
    <n v="3"/>
    <x v="1"/>
    <n v="13206"/>
    <n v="3376"/>
    <n v="3"/>
    <s v="Y"/>
    <x v="1"/>
    <n v="12"/>
    <n v="3"/>
    <n v="1"/>
    <n v="80"/>
    <n v="1"/>
    <n v="20"/>
    <n v="3"/>
    <n v="3"/>
    <n v="18"/>
    <n v="16"/>
    <n v="1"/>
    <n v="11"/>
  </r>
  <r>
    <x v="5"/>
    <x v="1"/>
    <x v="0"/>
    <n v="801"/>
    <x v="0"/>
    <n v="1"/>
    <n v="4"/>
    <x v="3"/>
    <x v="0"/>
    <x v="1431"/>
    <n v="3"/>
    <x v="0"/>
    <n v="48"/>
    <n v="3"/>
    <n v="3"/>
    <x v="0"/>
    <n v="4"/>
    <x v="1"/>
    <n v="10422"/>
    <n v="24032"/>
    <n v="1"/>
    <s v="Y"/>
    <x v="1"/>
    <n v="19"/>
    <n v="3"/>
    <n v="3"/>
    <n v="80"/>
    <n v="2"/>
    <n v="14"/>
    <n v="3"/>
    <n v="3"/>
    <n v="14"/>
    <n v="10"/>
    <n v="5"/>
    <n v="7"/>
  </r>
  <r>
    <x v="2"/>
    <x v="1"/>
    <x v="0"/>
    <n v="161"/>
    <x v="1"/>
    <n v="10"/>
    <n v="3"/>
    <x v="0"/>
    <x v="0"/>
    <x v="1432"/>
    <n v="3"/>
    <x v="0"/>
    <n v="42"/>
    <n v="4"/>
    <n v="3"/>
    <x v="7"/>
    <n v="4"/>
    <x v="1"/>
    <n v="13744"/>
    <n v="15471"/>
    <n v="1"/>
    <s v="Y"/>
    <x v="0"/>
    <n v="25"/>
    <n v="4"/>
    <n v="1"/>
    <n v="80"/>
    <n v="1"/>
    <n v="16"/>
    <n v="2"/>
    <n v="3"/>
    <n v="16"/>
    <n v="11"/>
    <n v="6"/>
    <n v="8"/>
  </r>
  <r>
    <x v="36"/>
    <x v="1"/>
    <x v="0"/>
    <n v="1382"/>
    <x v="0"/>
    <n v="8"/>
    <n v="2"/>
    <x v="1"/>
    <x v="0"/>
    <x v="1433"/>
    <n v="1"/>
    <x v="0"/>
    <n v="85"/>
    <n v="3"/>
    <n v="2"/>
    <x v="0"/>
    <n v="3"/>
    <x v="2"/>
    <n v="4907"/>
    <n v="13684"/>
    <n v="0"/>
    <s v="Y"/>
    <x v="0"/>
    <n v="22"/>
    <n v="4"/>
    <n v="2"/>
    <n v="80"/>
    <n v="1"/>
    <n v="6"/>
    <n v="3"/>
    <n v="2"/>
    <n v="5"/>
    <n v="3"/>
    <n v="0"/>
    <n v="4"/>
  </r>
  <r>
    <x v="39"/>
    <x v="1"/>
    <x v="2"/>
    <n v="585"/>
    <x v="0"/>
    <n v="29"/>
    <n v="4"/>
    <x v="0"/>
    <x v="0"/>
    <x v="1434"/>
    <n v="1"/>
    <x v="1"/>
    <n v="40"/>
    <n v="3"/>
    <n v="1"/>
    <x v="6"/>
    <n v="4"/>
    <x v="2"/>
    <n v="3482"/>
    <n v="19788"/>
    <n v="2"/>
    <s v="Y"/>
    <x v="1"/>
    <n v="15"/>
    <n v="3"/>
    <n v="2"/>
    <n v="80"/>
    <n v="2"/>
    <n v="16"/>
    <n v="3"/>
    <n v="2"/>
    <n v="9"/>
    <n v="8"/>
    <n v="0"/>
    <n v="0"/>
  </r>
  <r>
    <x v="20"/>
    <x v="1"/>
    <x v="0"/>
    <n v="1037"/>
    <x v="1"/>
    <n v="1"/>
    <n v="3"/>
    <x v="2"/>
    <x v="0"/>
    <x v="1435"/>
    <n v="2"/>
    <x v="1"/>
    <n v="42"/>
    <n v="3"/>
    <n v="1"/>
    <x v="1"/>
    <n v="4"/>
    <x v="0"/>
    <n v="2436"/>
    <n v="13422"/>
    <n v="6"/>
    <s v="Y"/>
    <x v="0"/>
    <n v="12"/>
    <n v="3"/>
    <n v="3"/>
    <n v="80"/>
    <n v="0"/>
    <n v="6"/>
    <n v="2"/>
    <n v="3"/>
    <n v="4"/>
    <n v="3"/>
    <n v="1"/>
    <n v="2"/>
  </r>
  <r>
    <x v="18"/>
    <x v="1"/>
    <x v="0"/>
    <n v="501"/>
    <x v="0"/>
    <n v="5"/>
    <n v="1"/>
    <x v="2"/>
    <x v="0"/>
    <x v="1436"/>
    <n v="3"/>
    <x v="1"/>
    <n v="58"/>
    <n v="3"/>
    <n v="1"/>
    <x v="6"/>
    <n v="1"/>
    <x v="0"/>
    <n v="2380"/>
    <n v="25479"/>
    <n v="1"/>
    <s v="Y"/>
    <x v="0"/>
    <n v="11"/>
    <n v="3"/>
    <n v="4"/>
    <n v="80"/>
    <n v="0"/>
    <n v="2"/>
    <n v="6"/>
    <n v="3"/>
    <n v="2"/>
    <n v="2"/>
    <n v="1"/>
    <n v="2"/>
  </r>
  <r>
    <x v="22"/>
    <x v="1"/>
    <x v="2"/>
    <n v="105"/>
    <x v="1"/>
    <n v="9"/>
    <n v="3"/>
    <x v="0"/>
    <x v="0"/>
    <x v="1437"/>
    <n v="4"/>
    <x v="1"/>
    <n v="87"/>
    <n v="3"/>
    <n v="5"/>
    <x v="5"/>
    <n v="4"/>
    <x v="0"/>
    <n v="19431"/>
    <n v="15302"/>
    <n v="2"/>
    <s v="Y"/>
    <x v="1"/>
    <n v="13"/>
    <n v="3"/>
    <n v="3"/>
    <n v="80"/>
    <n v="0"/>
    <n v="21"/>
    <n v="3"/>
    <n v="2"/>
    <n v="6"/>
    <n v="0"/>
    <n v="1"/>
    <n v="3"/>
  </r>
  <r>
    <x v="30"/>
    <x v="0"/>
    <x v="1"/>
    <n v="638"/>
    <x v="0"/>
    <n v="9"/>
    <n v="3"/>
    <x v="3"/>
    <x v="0"/>
    <x v="1438"/>
    <n v="4"/>
    <x v="1"/>
    <n v="33"/>
    <n v="3"/>
    <n v="1"/>
    <x v="6"/>
    <n v="1"/>
    <x v="1"/>
    <n v="1790"/>
    <n v="26956"/>
    <n v="1"/>
    <s v="Y"/>
    <x v="1"/>
    <n v="19"/>
    <n v="3"/>
    <n v="1"/>
    <n v="80"/>
    <n v="1"/>
    <n v="1"/>
    <n v="3"/>
    <n v="2"/>
    <n v="1"/>
    <n v="0"/>
    <n v="1"/>
    <n v="0"/>
  </r>
  <r>
    <x v="9"/>
    <x v="1"/>
    <x v="0"/>
    <n v="557"/>
    <x v="0"/>
    <n v="3"/>
    <n v="3"/>
    <x v="2"/>
    <x v="0"/>
    <x v="1439"/>
    <n v="1"/>
    <x v="0"/>
    <n v="94"/>
    <n v="2"/>
    <n v="3"/>
    <x v="0"/>
    <n v="4"/>
    <x v="1"/>
    <n v="7644"/>
    <n v="12695"/>
    <n v="0"/>
    <s v="Y"/>
    <x v="1"/>
    <n v="19"/>
    <n v="3"/>
    <n v="3"/>
    <n v="80"/>
    <n v="2"/>
    <n v="10"/>
    <n v="2"/>
    <n v="3"/>
    <n v="9"/>
    <n v="7"/>
    <n v="3"/>
    <n v="4"/>
  </r>
  <r>
    <x v="9"/>
    <x v="1"/>
    <x v="1"/>
    <n v="688"/>
    <x v="1"/>
    <n v="4"/>
    <n v="2"/>
    <x v="0"/>
    <x v="0"/>
    <x v="1440"/>
    <n v="4"/>
    <x v="0"/>
    <n v="97"/>
    <n v="3"/>
    <n v="2"/>
    <x v="3"/>
    <n v="2"/>
    <x v="2"/>
    <n v="5131"/>
    <n v="9192"/>
    <n v="7"/>
    <s v="Y"/>
    <x v="1"/>
    <n v="13"/>
    <n v="3"/>
    <n v="2"/>
    <n v="80"/>
    <n v="3"/>
    <n v="18"/>
    <n v="3"/>
    <n v="3"/>
    <n v="4"/>
    <n v="2"/>
    <n v="0"/>
    <n v="2"/>
  </r>
  <r>
    <x v="29"/>
    <x v="1"/>
    <x v="2"/>
    <n v="667"/>
    <x v="1"/>
    <n v="1"/>
    <n v="4"/>
    <x v="0"/>
    <x v="0"/>
    <x v="1441"/>
    <n v="3"/>
    <x v="1"/>
    <n v="57"/>
    <n v="3"/>
    <n v="2"/>
    <x v="4"/>
    <n v="3"/>
    <x v="2"/>
    <n v="6306"/>
    <n v="26236"/>
    <n v="1"/>
    <s v="Y"/>
    <x v="1"/>
    <n v="21"/>
    <n v="4"/>
    <n v="1"/>
    <n v="80"/>
    <n v="1"/>
    <n v="13"/>
    <n v="2"/>
    <n v="2"/>
    <n v="13"/>
    <n v="12"/>
    <n v="1"/>
    <n v="9"/>
  </r>
  <r>
    <x v="11"/>
    <x v="0"/>
    <x v="0"/>
    <n v="1092"/>
    <x v="1"/>
    <n v="1"/>
    <n v="4"/>
    <x v="2"/>
    <x v="0"/>
    <x v="1442"/>
    <n v="1"/>
    <x v="1"/>
    <n v="36"/>
    <n v="3"/>
    <n v="1"/>
    <x v="1"/>
    <n v="4"/>
    <x v="1"/>
    <n v="4787"/>
    <n v="26124"/>
    <n v="9"/>
    <s v="Y"/>
    <x v="0"/>
    <n v="14"/>
    <n v="3"/>
    <n v="2"/>
    <n v="80"/>
    <n v="3"/>
    <n v="4"/>
    <n v="3"/>
    <n v="4"/>
    <n v="2"/>
    <n v="2"/>
    <n v="2"/>
    <n v="2"/>
  </r>
  <r>
    <x v="19"/>
    <x v="1"/>
    <x v="0"/>
    <n v="300"/>
    <x v="1"/>
    <n v="2"/>
    <n v="3"/>
    <x v="0"/>
    <x v="0"/>
    <x v="1443"/>
    <n v="1"/>
    <x v="1"/>
    <n v="56"/>
    <n v="3"/>
    <n v="5"/>
    <x v="5"/>
    <n v="3"/>
    <x v="1"/>
    <n v="18880"/>
    <n v="17312"/>
    <n v="5"/>
    <s v="Y"/>
    <x v="1"/>
    <n v="11"/>
    <n v="3"/>
    <n v="1"/>
    <n v="80"/>
    <n v="0"/>
    <n v="24"/>
    <n v="2"/>
    <n v="2"/>
    <n v="22"/>
    <n v="6"/>
    <n v="4"/>
    <n v="14"/>
  </r>
  <r>
    <x v="29"/>
    <x v="0"/>
    <x v="0"/>
    <n v="310"/>
    <x v="1"/>
    <n v="7"/>
    <n v="2"/>
    <x v="4"/>
    <x v="0"/>
    <x v="1444"/>
    <n v="4"/>
    <x v="1"/>
    <n v="72"/>
    <n v="3"/>
    <n v="1"/>
    <x v="2"/>
    <n v="3"/>
    <x v="1"/>
    <n v="2339"/>
    <n v="3666"/>
    <n v="8"/>
    <s v="Y"/>
    <x v="1"/>
    <n v="11"/>
    <n v="3"/>
    <n v="4"/>
    <n v="80"/>
    <n v="1"/>
    <n v="14"/>
    <n v="4"/>
    <n v="1"/>
    <n v="10"/>
    <n v="9"/>
    <n v="9"/>
    <n v="8"/>
  </r>
  <r>
    <x v="0"/>
    <x v="1"/>
    <x v="0"/>
    <n v="582"/>
    <x v="1"/>
    <n v="28"/>
    <n v="4"/>
    <x v="0"/>
    <x v="0"/>
    <x v="1445"/>
    <n v="1"/>
    <x v="0"/>
    <n v="60"/>
    <n v="2"/>
    <n v="4"/>
    <x v="3"/>
    <n v="2"/>
    <x v="1"/>
    <n v="13570"/>
    <n v="5640"/>
    <n v="0"/>
    <s v="Y"/>
    <x v="1"/>
    <n v="23"/>
    <n v="4"/>
    <n v="3"/>
    <n v="80"/>
    <n v="1"/>
    <n v="21"/>
    <n v="3"/>
    <n v="3"/>
    <n v="20"/>
    <n v="7"/>
    <n v="0"/>
    <n v="10"/>
  </r>
  <r>
    <x v="13"/>
    <x v="1"/>
    <x v="0"/>
    <n v="704"/>
    <x v="0"/>
    <n v="28"/>
    <n v="3"/>
    <x v="3"/>
    <x v="0"/>
    <x v="1446"/>
    <n v="4"/>
    <x v="0"/>
    <n v="95"/>
    <n v="2"/>
    <n v="2"/>
    <x v="0"/>
    <n v="3"/>
    <x v="1"/>
    <n v="6712"/>
    <n v="8978"/>
    <n v="1"/>
    <s v="Y"/>
    <x v="1"/>
    <n v="21"/>
    <n v="4"/>
    <n v="4"/>
    <n v="80"/>
    <n v="2"/>
    <n v="8"/>
    <n v="2"/>
    <n v="3"/>
    <n v="8"/>
    <n v="7"/>
    <n v="1"/>
    <n v="7"/>
  </r>
  <r>
    <x v="9"/>
    <x v="1"/>
    <x v="2"/>
    <n v="301"/>
    <x v="0"/>
    <n v="15"/>
    <n v="4"/>
    <x v="3"/>
    <x v="0"/>
    <x v="1447"/>
    <n v="4"/>
    <x v="1"/>
    <n v="88"/>
    <n v="1"/>
    <n v="2"/>
    <x v="0"/>
    <n v="4"/>
    <x v="2"/>
    <n v="5406"/>
    <n v="10436"/>
    <n v="1"/>
    <s v="Y"/>
    <x v="1"/>
    <n v="24"/>
    <n v="4"/>
    <n v="1"/>
    <n v="80"/>
    <n v="1"/>
    <n v="15"/>
    <n v="4"/>
    <n v="2"/>
    <n v="15"/>
    <n v="12"/>
    <n v="11"/>
    <n v="11"/>
  </r>
  <r>
    <x v="0"/>
    <x v="1"/>
    <x v="0"/>
    <n v="930"/>
    <x v="0"/>
    <n v="3"/>
    <n v="3"/>
    <x v="0"/>
    <x v="0"/>
    <x v="1448"/>
    <n v="3"/>
    <x v="1"/>
    <n v="57"/>
    <n v="2"/>
    <n v="2"/>
    <x v="0"/>
    <n v="2"/>
    <x v="2"/>
    <n v="8938"/>
    <n v="12227"/>
    <n v="2"/>
    <s v="Y"/>
    <x v="1"/>
    <n v="11"/>
    <n v="3"/>
    <n v="3"/>
    <n v="80"/>
    <n v="1"/>
    <n v="14"/>
    <n v="5"/>
    <n v="3"/>
    <n v="5"/>
    <n v="4"/>
    <n v="0"/>
    <n v="4"/>
  </r>
  <r>
    <x v="5"/>
    <x v="1"/>
    <x v="0"/>
    <n v="529"/>
    <x v="1"/>
    <n v="2"/>
    <n v="3"/>
    <x v="4"/>
    <x v="0"/>
    <x v="1449"/>
    <n v="4"/>
    <x v="1"/>
    <n v="78"/>
    <n v="3"/>
    <n v="1"/>
    <x v="1"/>
    <n v="1"/>
    <x v="0"/>
    <n v="2439"/>
    <n v="11288"/>
    <n v="1"/>
    <s v="Y"/>
    <x v="1"/>
    <n v="14"/>
    <n v="3"/>
    <n v="4"/>
    <n v="80"/>
    <n v="0"/>
    <n v="4"/>
    <n v="4"/>
    <n v="3"/>
    <n v="4"/>
    <n v="2"/>
    <n v="1"/>
    <n v="2"/>
  </r>
  <r>
    <x v="10"/>
    <x v="1"/>
    <x v="0"/>
    <n v="1146"/>
    <x v="2"/>
    <n v="26"/>
    <n v="4"/>
    <x v="0"/>
    <x v="0"/>
    <x v="1450"/>
    <n v="3"/>
    <x v="0"/>
    <n v="31"/>
    <n v="3"/>
    <n v="3"/>
    <x v="8"/>
    <n v="4"/>
    <x v="0"/>
    <n v="8837"/>
    <n v="16642"/>
    <n v="1"/>
    <s v="Y"/>
    <x v="0"/>
    <n v="16"/>
    <n v="3"/>
    <n v="3"/>
    <n v="80"/>
    <n v="0"/>
    <n v="9"/>
    <n v="2"/>
    <n v="3"/>
    <n v="9"/>
    <n v="0"/>
    <n v="1"/>
    <n v="7"/>
  </r>
  <r>
    <x v="8"/>
    <x v="1"/>
    <x v="0"/>
    <n v="345"/>
    <x v="0"/>
    <n v="10"/>
    <n v="2"/>
    <x v="0"/>
    <x v="0"/>
    <x v="1451"/>
    <n v="1"/>
    <x v="0"/>
    <n v="100"/>
    <n v="3"/>
    <n v="2"/>
    <x v="0"/>
    <n v="4"/>
    <x v="1"/>
    <n v="5343"/>
    <n v="5982"/>
    <n v="1"/>
    <s v="Y"/>
    <x v="1"/>
    <n v="11"/>
    <n v="3"/>
    <n v="3"/>
    <n v="80"/>
    <n v="1"/>
    <n v="10"/>
    <n v="1"/>
    <n v="3"/>
    <n v="10"/>
    <n v="7"/>
    <n v="1"/>
    <n v="9"/>
  </r>
  <r>
    <x v="24"/>
    <x v="0"/>
    <x v="1"/>
    <n v="878"/>
    <x v="0"/>
    <n v="1"/>
    <n v="4"/>
    <x v="0"/>
    <x v="0"/>
    <x v="1452"/>
    <n v="2"/>
    <x v="1"/>
    <n v="94"/>
    <n v="3"/>
    <n v="2"/>
    <x v="0"/>
    <n v="3"/>
    <x v="2"/>
    <n v="6728"/>
    <n v="14255"/>
    <n v="7"/>
    <s v="Y"/>
    <x v="1"/>
    <n v="12"/>
    <n v="3"/>
    <n v="4"/>
    <n v="80"/>
    <n v="2"/>
    <n v="12"/>
    <n v="3"/>
    <n v="3"/>
    <n v="6"/>
    <n v="3"/>
    <n v="0"/>
    <n v="1"/>
  </r>
  <r>
    <x v="9"/>
    <x v="1"/>
    <x v="0"/>
    <n v="1120"/>
    <x v="0"/>
    <n v="11"/>
    <n v="4"/>
    <x v="3"/>
    <x v="0"/>
    <x v="1453"/>
    <n v="2"/>
    <x v="0"/>
    <n v="100"/>
    <n v="2"/>
    <n v="2"/>
    <x v="0"/>
    <n v="4"/>
    <x v="1"/>
    <n v="6652"/>
    <n v="14369"/>
    <n v="4"/>
    <s v="Y"/>
    <x v="1"/>
    <n v="13"/>
    <n v="3"/>
    <n v="1"/>
    <n v="80"/>
    <n v="1"/>
    <n v="8"/>
    <n v="2"/>
    <n v="2"/>
    <n v="6"/>
    <n v="3"/>
    <n v="0"/>
    <n v="0"/>
  </r>
  <r>
    <x v="28"/>
    <x v="1"/>
    <x v="0"/>
    <n v="374"/>
    <x v="0"/>
    <n v="20"/>
    <n v="3"/>
    <x v="0"/>
    <x v="0"/>
    <x v="1454"/>
    <n v="4"/>
    <x v="0"/>
    <n v="50"/>
    <n v="3"/>
    <n v="2"/>
    <x v="0"/>
    <n v="3"/>
    <x v="0"/>
    <n v="4850"/>
    <n v="23333"/>
    <n v="8"/>
    <s v="Y"/>
    <x v="1"/>
    <n v="15"/>
    <n v="3"/>
    <n v="3"/>
    <n v="80"/>
    <n v="0"/>
    <n v="8"/>
    <n v="3"/>
    <n v="3"/>
    <n v="5"/>
    <n v="3"/>
    <n v="0"/>
    <n v="1"/>
  </r>
  <r>
    <x v="32"/>
    <x v="1"/>
    <x v="0"/>
    <n v="1322"/>
    <x v="1"/>
    <n v="2"/>
    <n v="4"/>
    <x v="0"/>
    <x v="0"/>
    <x v="1455"/>
    <n v="3"/>
    <x v="1"/>
    <n v="52"/>
    <n v="2"/>
    <n v="1"/>
    <x v="1"/>
    <n v="3"/>
    <x v="0"/>
    <n v="2809"/>
    <n v="2725"/>
    <n v="2"/>
    <s v="Y"/>
    <x v="1"/>
    <n v="14"/>
    <n v="3"/>
    <n v="4"/>
    <n v="80"/>
    <n v="0"/>
    <n v="8"/>
    <n v="2"/>
    <n v="3"/>
    <n v="2"/>
    <n v="2"/>
    <n v="2"/>
    <n v="2"/>
  </r>
  <r>
    <x v="10"/>
    <x v="1"/>
    <x v="1"/>
    <n v="1199"/>
    <x v="1"/>
    <n v="18"/>
    <n v="4"/>
    <x v="0"/>
    <x v="0"/>
    <x v="1456"/>
    <n v="3"/>
    <x v="1"/>
    <n v="80"/>
    <n v="3"/>
    <n v="2"/>
    <x v="4"/>
    <n v="3"/>
    <x v="1"/>
    <n v="5689"/>
    <n v="24594"/>
    <n v="1"/>
    <s v="Y"/>
    <x v="0"/>
    <n v="14"/>
    <n v="3"/>
    <n v="4"/>
    <n v="80"/>
    <n v="2"/>
    <n v="10"/>
    <n v="2"/>
    <n v="4"/>
    <n v="10"/>
    <n v="2"/>
    <n v="0"/>
    <n v="2"/>
  </r>
  <r>
    <x v="32"/>
    <x v="1"/>
    <x v="0"/>
    <n v="1194"/>
    <x v="1"/>
    <n v="2"/>
    <n v="4"/>
    <x v="2"/>
    <x v="0"/>
    <x v="1457"/>
    <n v="3"/>
    <x v="0"/>
    <n v="98"/>
    <n v="3"/>
    <n v="1"/>
    <x v="1"/>
    <n v="3"/>
    <x v="1"/>
    <n v="2001"/>
    <n v="12549"/>
    <n v="2"/>
    <s v="Y"/>
    <x v="1"/>
    <n v="14"/>
    <n v="3"/>
    <n v="2"/>
    <n v="80"/>
    <n v="3"/>
    <n v="20"/>
    <n v="2"/>
    <n v="3"/>
    <n v="5"/>
    <n v="3"/>
    <n v="0"/>
    <n v="2"/>
  </r>
  <r>
    <x v="10"/>
    <x v="1"/>
    <x v="0"/>
    <n v="287"/>
    <x v="1"/>
    <n v="1"/>
    <n v="4"/>
    <x v="0"/>
    <x v="0"/>
    <x v="1458"/>
    <n v="3"/>
    <x v="0"/>
    <n v="62"/>
    <n v="1"/>
    <n v="1"/>
    <x v="1"/>
    <n v="4"/>
    <x v="1"/>
    <n v="2977"/>
    <n v="8952"/>
    <n v="1"/>
    <s v="Y"/>
    <x v="1"/>
    <n v="12"/>
    <n v="3"/>
    <n v="4"/>
    <n v="80"/>
    <n v="1"/>
    <n v="4"/>
    <n v="5"/>
    <n v="3"/>
    <n v="4"/>
    <n v="3"/>
    <n v="1"/>
    <n v="1"/>
  </r>
  <r>
    <x v="11"/>
    <x v="1"/>
    <x v="0"/>
    <n v="1378"/>
    <x v="1"/>
    <n v="13"/>
    <n v="2"/>
    <x v="1"/>
    <x v="0"/>
    <x v="1459"/>
    <n v="4"/>
    <x v="1"/>
    <n v="46"/>
    <n v="2"/>
    <n v="2"/>
    <x v="2"/>
    <n v="2"/>
    <x v="1"/>
    <n v="4025"/>
    <n v="23679"/>
    <n v="4"/>
    <s v="Y"/>
    <x v="0"/>
    <n v="13"/>
    <n v="3"/>
    <n v="1"/>
    <n v="80"/>
    <n v="1"/>
    <n v="10"/>
    <n v="2"/>
    <n v="3"/>
    <n v="4"/>
    <n v="3"/>
    <n v="0"/>
    <n v="3"/>
  </r>
  <r>
    <x v="11"/>
    <x v="1"/>
    <x v="0"/>
    <n v="468"/>
    <x v="1"/>
    <n v="28"/>
    <n v="4"/>
    <x v="2"/>
    <x v="0"/>
    <x v="1460"/>
    <n v="4"/>
    <x v="0"/>
    <n v="73"/>
    <n v="2"/>
    <n v="1"/>
    <x v="1"/>
    <n v="1"/>
    <x v="0"/>
    <n v="3785"/>
    <n v="8489"/>
    <n v="1"/>
    <s v="Y"/>
    <x v="1"/>
    <n v="14"/>
    <n v="3"/>
    <n v="2"/>
    <n v="80"/>
    <n v="0"/>
    <n v="5"/>
    <n v="3"/>
    <n v="1"/>
    <n v="5"/>
    <n v="4"/>
    <n v="0"/>
    <n v="4"/>
  </r>
  <r>
    <x v="24"/>
    <x v="0"/>
    <x v="0"/>
    <n v="410"/>
    <x v="0"/>
    <n v="28"/>
    <n v="3"/>
    <x v="3"/>
    <x v="0"/>
    <x v="1461"/>
    <n v="4"/>
    <x v="1"/>
    <n v="39"/>
    <n v="2"/>
    <n v="3"/>
    <x v="0"/>
    <n v="1"/>
    <x v="2"/>
    <n v="10854"/>
    <n v="16586"/>
    <n v="4"/>
    <s v="Y"/>
    <x v="0"/>
    <n v="13"/>
    <n v="3"/>
    <n v="2"/>
    <n v="80"/>
    <n v="1"/>
    <n v="20"/>
    <n v="3"/>
    <n v="3"/>
    <n v="3"/>
    <n v="2"/>
    <n v="2"/>
    <n v="0"/>
  </r>
  <r>
    <x v="22"/>
    <x v="1"/>
    <x v="0"/>
    <n v="722"/>
    <x v="0"/>
    <n v="24"/>
    <n v="1"/>
    <x v="3"/>
    <x v="0"/>
    <x v="1462"/>
    <n v="2"/>
    <x v="0"/>
    <n v="60"/>
    <n v="2"/>
    <n v="4"/>
    <x v="0"/>
    <n v="4"/>
    <x v="1"/>
    <n v="12031"/>
    <n v="8828"/>
    <n v="0"/>
    <s v="Y"/>
    <x v="1"/>
    <n v="11"/>
    <n v="3"/>
    <n v="1"/>
    <n v="80"/>
    <n v="1"/>
    <n v="21"/>
    <n v="2"/>
    <n v="2"/>
    <n v="20"/>
    <n v="9"/>
    <n v="9"/>
    <n v="6"/>
  </r>
  <r>
    <x v="12"/>
    <x v="1"/>
    <x v="2"/>
    <n v="325"/>
    <x v="1"/>
    <n v="5"/>
    <n v="3"/>
    <x v="2"/>
    <x v="0"/>
    <x v="1463"/>
    <n v="2"/>
    <x v="1"/>
    <n v="74"/>
    <n v="3"/>
    <n v="2"/>
    <x v="3"/>
    <n v="1"/>
    <x v="0"/>
    <n v="9936"/>
    <n v="3787"/>
    <n v="0"/>
    <s v="Y"/>
    <x v="1"/>
    <n v="19"/>
    <n v="3"/>
    <n v="2"/>
    <n v="80"/>
    <n v="0"/>
    <n v="10"/>
    <n v="2"/>
    <n v="3"/>
    <n v="9"/>
    <n v="4"/>
    <n v="1"/>
    <n v="7"/>
  </r>
  <r>
    <x v="25"/>
    <x v="1"/>
    <x v="0"/>
    <n v="1167"/>
    <x v="0"/>
    <n v="5"/>
    <n v="3"/>
    <x v="1"/>
    <x v="0"/>
    <x v="1464"/>
    <n v="4"/>
    <x v="0"/>
    <n v="30"/>
    <n v="2"/>
    <n v="1"/>
    <x v="6"/>
    <n v="3"/>
    <x v="0"/>
    <n v="2966"/>
    <n v="21378"/>
    <n v="0"/>
    <s v="Y"/>
    <x v="1"/>
    <n v="18"/>
    <n v="3"/>
    <n v="4"/>
    <n v="80"/>
    <n v="0"/>
    <n v="5"/>
    <n v="2"/>
    <n v="3"/>
    <n v="4"/>
    <n v="2"/>
    <n v="0"/>
    <n v="0"/>
  </r>
  <r>
    <x v="9"/>
    <x v="1"/>
    <x v="1"/>
    <n v="884"/>
    <x v="1"/>
    <n v="23"/>
    <n v="2"/>
    <x v="2"/>
    <x v="0"/>
    <x v="1465"/>
    <n v="3"/>
    <x v="1"/>
    <n v="41"/>
    <n v="4"/>
    <n v="2"/>
    <x v="2"/>
    <n v="4"/>
    <x v="1"/>
    <n v="2571"/>
    <n v="12290"/>
    <n v="4"/>
    <s v="Y"/>
    <x v="1"/>
    <n v="17"/>
    <n v="3"/>
    <n v="3"/>
    <n v="80"/>
    <n v="1"/>
    <n v="17"/>
    <n v="3"/>
    <n v="3"/>
    <n v="5"/>
    <n v="2"/>
    <n v="0"/>
    <n v="3"/>
  </r>
  <r>
    <x v="22"/>
    <x v="1"/>
    <x v="0"/>
    <n v="613"/>
    <x v="1"/>
    <n v="6"/>
    <n v="1"/>
    <x v="2"/>
    <x v="0"/>
    <x v="1466"/>
    <n v="4"/>
    <x v="1"/>
    <n v="42"/>
    <n v="2"/>
    <n v="3"/>
    <x v="4"/>
    <n v="1"/>
    <x v="1"/>
    <n v="9991"/>
    <n v="21457"/>
    <n v="4"/>
    <s v="Y"/>
    <x v="1"/>
    <n v="15"/>
    <n v="3"/>
    <n v="1"/>
    <n v="80"/>
    <n v="1"/>
    <n v="9"/>
    <n v="5"/>
    <n v="3"/>
    <n v="7"/>
    <n v="7"/>
    <n v="1"/>
    <n v="7"/>
  </r>
  <r>
    <x v="4"/>
    <x v="1"/>
    <x v="0"/>
    <n v="155"/>
    <x v="1"/>
    <n v="4"/>
    <n v="3"/>
    <x v="0"/>
    <x v="0"/>
    <x v="1467"/>
    <n v="2"/>
    <x v="1"/>
    <n v="87"/>
    <n v="4"/>
    <n v="2"/>
    <x v="3"/>
    <n v="2"/>
    <x v="1"/>
    <n v="6142"/>
    <n v="5174"/>
    <n v="1"/>
    <s v="Y"/>
    <x v="0"/>
    <n v="20"/>
    <n v="4"/>
    <n v="2"/>
    <n v="80"/>
    <n v="1"/>
    <n v="6"/>
    <n v="0"/>
    <n v="3"/>
    <n v="6"/>
    <n v="2"/>
    <n v="0"/>
    <n v="3"/>
  </r>
  <r>
    <x v="1"/>
    <x v="1"/>
    <x v="1"/>
    <n v="1023"/>
    <x v="0"/>
    <n v="2"/>
    <n v="3"/>
    <x v="2"/>
    <x v="0"/>
    <x v="1468"/>
    <n v="4"/>
    <x v="1"/>
    <n v="63"/>
    <n v="2"/>
    <n v="2"/>
    <x v="0"/>
    <n v="2"/>
    <x v="1"/>
    <n v="5390"/>
    <n v="13243"/>
    <n v="2"/>
    <s v="Y"/>
    <x v="1"/>
    <n v="14"/>
    <n v="3"/>
    <n v="4"/>
    <n v="80"/>
    <n v="0"/>
    <n v="17"/>
    <n v="3"/>
    <n v="2"/>
    <n v="9"/>
    <n v="6"/>
    <n v="0"/>
    <n v="8"/>
  </r>
  <r>
    <x v="13"/>
    <x v="1"/>
    <x v="0"/>
    <n v="628"/>
    <x v="1"/>
    <n v="8"/>
    <n v="3"/>
    <x v="2"/>
    <x v="0"/>
    <x v="1469"/>
    <n v="2"/>
    <x v="1"/>
    <n v="82"/>
    <n v="4"/>
    <n v="2"/>
    <x v="2"/>
    <n v="3"/>
    <x v="1"/>
    <n v="4404"/>
    <n v="10228"/>
    <n v="2"/>
    <s v="Y"/>
    <x v="1"/>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F099B7-030F-402B-8D21-807E81C633A3}" name="Employee Marital Statu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arital status">
  <location ref="A116:B120" firstHeaderRow="1" firstDataRow="1" firstDataCol="1"/>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Items count="1">
    <i/>
  </colItems>
  <dataFields count="1">
    <dataField name="Count of Employee Number" fld="8"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D7A045-D28B-46F6-8314-08A87D1DD427}" name="Employee Gender"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Gender">
  <location ref="A104:B107" firstHeaderRow="1" firstDataRow="1" firstDataCol="1"/>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Employee Number" fld="8" baseField="0" baseItem="0"/>
  </dataFields>
  <chartFormats count="4">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1" count="1" selected="0">
            <x v="0"/>
          </reference>
        </references>
      </pivotArea>
    </chartFormat>
    <chartFormat chart="6"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78910D-2AF8-4126-84C8-C3F3B9AE5372}" name="Attrition Rate by Education Field"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Education Field" colHeaderCaption="Attrition">
  <location ref="A86:D94" firstHeaderRow="1" firstDataRow="2" firstDataCol="1"/>
  <pivotFields count="35">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Fields count="1">
    <field x="1"/>
  </colFields>
  <colItems count="3">
    <i>
      <x/>
    </i>
    <i>
      <x v="1"/>
    </i>
    <i t="grand">
      <x/>
    </i>
  </colItems>
  <dataFields count="1">
    <dataField name="Count of Employee Numbe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905CA8-2DF2-4555-ADF6-239816A06B20}" name="Attrition Rate by Business Travel"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usiness Travel" colHeaderCaption="Attrition">
  <location ref="A74:D79" firstHeaderRow="1" firstDataRow="2" firstDataCol="1"/>
  <pivotFields count="35">
    <pivotField showAll="0"/>
    <pivotField axis="axisCol"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Employee Numbe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9461B0-A0C8-422C-9B39-A9C32D6390F3}" name="Attrition Rate by Overtim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Overtime" colHeaderCaption="Attrition">
  <location ref="A64:D68" firstHeaderRow="1" firstDataRow="2" firstDataCol="1"/>
  <pivotFields count="35">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 Numbe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4F213E-AFB7-4F11-8F81-2B4DFB5595D2}" name="Average monthly incom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A28" firstHeaderRow="1" firstDataRow="1" firstDataCol="0"/>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8"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EECC52-32BB-46B3-8047-D3940BBFB7BB}" name="Average Years at Company"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A41" firstHeaderRow="1" firstDataRow="1" firstDataCol="0"/>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1" subtotal="average"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0B3240-3F47-4F41-957E-5F2ECCCD0E73}" name="Average employee ag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35">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Age" fld="0" subtotal="average" baseField="0"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581D7B-EC24-4512-AF8C-CF75E1EFF1B5}" name="Number of employees in the company" cacheId="13" applyNumberFormats="0" applyBorderFormats="0" applyFontFormats="0" applyPatternFormats="0" applyAlignmentFormats="0" applyWidthHeightFormats="1" dataCaption="Values" grandTotalCaption="Total Employees" updatedVersion="8" minRefreshableVersion="3" useAutoFormatting="1" itemPrintTitles="1" createdVersion="8" indent="0" outline="1" outlineData="1" multipleFieldFilters="0">
  <location ref="A3:A4" firstHeaderRow="1" firstDataRow="1" firstDataCol="0"/>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8"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F4E2DF-F015-40C2-A0BA-6ACB3648DACA}" name="Employee attrition by department"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colHeaderCaption="Attrition">
  <location ref="A13:D18" firstHeaderRow="1" firstDataRow="2" firstDataCol="1"/>
  <pivotFields count="35">
    <pivotField showAll="0"/>
    <pivotField axis="axisCol" showAll="0">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 Numbe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60A42B-FFD6-4BC6-863E-9ED982C6EC3B}" name="Employee attrition"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7:B10" firstHeaderRow="1" firstDataRow="1" firstDataCol="1"/>
  <pivotFields count="35">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 Numbe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FE9503-38C6-4942-9911-CBAE30A24F29}" name="Employee attrition by department "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epartment" colHeaderCaption="Attrition">
  <location ref="A31:C36" firstHeaderRow="1" firstDataRow="2" firstDataCol="1"/>
  <pivotFields count="35">
    <pivotField showAll="0"/>
    <pivotField axis="axisCol" showAll="0">
      <items count="3">
        <item h="1" x="1"/>
        <item x="0"/>
        <item t="default"/>
      </items>
    </pivotField>
    <pivotField showAll="0">
      <items count="4">
        <item x="2"/>
        <item x="1"/>
        <item x="0"/>
        <item t="default"/>
      </items>
    </pivotField>
    <pivotField showAll="0"/>
    <pivotField axis="axisRow" showAll="0" sortType="ascending">
      <items count="4">
        <item x="2"/>
        <item x="1"/>
        <item x="0"/>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2"/>
    </i>
    <i>
      <x v="1"/>
    </i>
    <i t="grand">
      <x/>
    </i>
  </rowItems>
  <colFields count="1">
    <field x="1"/>
  </colFields>
  <colItems count="2">
    <i>
      <x v="1"/>
    </i>
    <i t="grand">
      <x/>
    </i>
  </colItems>
  <dataFields count="1">
    <dataField name="Count of Employee Number" fld="8" baseField="0" baseItem="0"/>
  </dataFields>
  <chartFormats count="4">
    <chartFormat chart="5" format="4" series="1">
      <pivotArea type="data" outline="0" fieldPosition="0">
        <references count="1">
          <reference field="1" count="1" selected="0">
            <x v="1"/>
          </reference>
        </references>
      </pivotArea>
    </chartFormat>
    <chartFormat chart="1" format="5" series="1">
      <pivotArea type="data" outline="0" fieldPosition="0">
        <references count="1">
          <reference field="1" count="1" selected="0">
            <x v="1"/>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11"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722758-3567-4AA4-A5F5-B8771A13FF75}" name="Employee Attrition by Job Rol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Job Role" colHeaderCaption="Attrition">
  <location ref="A47:C58" firstHeaderRow="1" firstDataRow="2" firstDataCol="1"/>
  <pivotFields count="35">
    <pivotField showAll="0"/>
    <pivotField axis="axisCol" showAll="0">
      <items count="3">
        <item h="1"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v="5"/>
    </i>
    <i>
      <x v="3"/>
    </i>
    <i>
      <x/>
    </i>
    <i>
      <x v="4"/>
    </i>
    <i>
      <x v="1"/>
    </i>
    <i>
      <x v="8"/>
    </i>
    <i>
      <x v="6"/>
    </i>
    <i>
      <x v="7"/>
    </i>
    <i>
      <x v="2"/>
    </i>
    <i t="grand">
      <x/>
    </i>
  </rowItems>
  <colFields count="1">
    <field x="1"/>
  </colFields>
  <colItems count="2">
    <i>
      <x v="1"/>
    </i>
    <i t="grand">
      <x/>
    </i>
  </colItems>
  <dataFields count="1">
    <dataField name="Count of Employee Number" fld="8" baseField="0" baseItem="0"/>
  </dataFields>
  <chartFormats count="4">
    <chartFormat chart="3" format="0"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1"/>
          </reference>
        </references>
      </pivotArea>
    </chartFormat>
    <chartFormat chart="6"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7220C57-19D9-421C-906C-3C5FC42EA0AD}" sourceName="Department">
  <pivotTables>
    <pivotTable tabId="2" name="Attrition Rate by Business Travel"/>
    <pivotTable tabId="2" name="Attrition Rate by Education Field"/>
    <pivotTable tabId="2" name="Attrition Rate by Overtime"/>
    <pivotTable tabId="2" name="Average employee age"/>
    <pivotTable tabId="2" name="Average monthly income"/>
    <pivotTable tabId="2" name="Average Years at Company"/>
    <pivotTable tabId="2" name="Employee attrition"/>
    <pivotTable tabId="2" name="Employee attrition by department"/>
    <pivotTable tabId="2" name="Employee Attrition by Job Role"/>
    <pivotTable tabId="2" name="Employee Gender"/>
    <pivotTable tabId="2" name="Employee Marital Status"/>
    <pivotTable tabId="2" name="Number of employees in the company"/>
  </pivotTables>
  <data>
    <tabular pivotCacheId="159438756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BF6853D4-9C22-45D1-834A-F2383EFA2614}" sourceName="BusinessTravel">
  <pivotTables>
    <pivotTable tabId="2" name="Employee attrition by department "/>
    <pivotTable tabId="2" name="Attrition Rate by Education Field"/>
    <pivotTable tabId="2" name="Attrition Rate by Overtime"/>
    <pivotTable tabId="2" name="Average employee age"/>
    <pivotTable tabId="2" name="Average monthly income"/>
    <pivotTable tabId="2" name="Average Years at Company"/>
    <pivotTable tabId="2" name="Employee attrition"/>
    <pivotTable tabId="2" name="Employee attrition by department"/>
    <pivotTable tabId="2" name="Employee Attrition by Job Role"/>
    <pivotTable tabId="2" name="Employee Gender"/>
    <pivotTable tabId="2" name="Employee Marital Status"/>
    <pivotTable tabId="2" name="Number of employees in the company"/>
  </pivotTables>
  <data>
    <tabular pivotCacheId="159438756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795539BB-5638-4E32-8A50-EEA681CA90F4}" sourceName="OverTime">
  <pivotTables>
    <pivotTable tabId="2" name="Employee attrition by department "/>
    <pivotTable tabId="2" name="Attrition Rate by Business Travel"/>
    <pivotTable tabId="2" name="Attrition Rate by Education Field"/>
    <pivotTable tabId="2" name="Average employee age"/>
    <pivotTable tabId="2" name="Average monthly income"/>
    <pivotTable tabId="2" name="Average Years at Company"/>
    <pivotTable tabId="2" name="Employee attrition"/>
    <pivotTable tabId="2" name="Employee attrition by department"/>
    <pivotTable tabId="2" name="Employee Attrition by Job Role"/>
    <pivotTable tabId="2" name="Employee Gender"/>
    <pivotTable tabId="2" name="Employee Marital Status"/>
    <pivotTable tabId="2" name="Number of employees in the company"/>
  </pivotTables>
  <data>
    <tabular pivotCacheId="15943875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565DAAC-7790-4C8B-8316-1E6A48C72254}" cache="Slicer_Department" caption="Department" rowHeight="360000"/>
  <slicer name="BusinessTravel" xr10:uid="{1CBE7621-5CE2-4E53-A0E7-8E0C27C30C56}" cache="Slicer_BusinessTravel" caption="Business Travel" rowHeight="360000"/>
  <slicer name="OverTime" xr10:uid="{FC52DC09-20E6-4426-829D-DCB54CC76B02}" cache="Slicer_OverTime" caption="Overtime"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04CE95-1719-4426-8B9F-F5CF8C52D494}" name="HR_Data" displayName="HR_Data" ref="A1:AI1471" totalsRowShown="0">
  <autoFilter ref="A1:AI1471" xr:uid="{F704CE95-1719-4426-8B9F-F5CF8C52D494}"/>
  <tableColumns count="35">
    <tableColumn id="1" xr3:uid="{314C6219-4121-4DDD-B31F-D9C5389C4B14}" name="Age"/>
    <tableColumn id="2" xr3:uid="{77B02AF0-660A-491A-BEAB-C189BAE4175E}" name="Attrition"/>
    <tableColumn id="3" xr3:uid="{985A2548-81A4-42FB-9DC4-C8DDF30F7684}" name="BusinessTravel"/>
    <tableColumn id="4" xr3:uid="{C1F19D48-FB7B-4A09-8C26-A8B630339584}" name="DailyRate"/>
    <tableColumn id="5" xr3:uid="{2FFABC34-A399-4CD6-A961-C457EFBD8AA2}" name="Department"/>
    <tableColumn id="6" xr3:uid="{6E88941D-9E25-4C86-A12B-CF74B6D246A1}" name="DistanceFromHome"/>
    <tableColumn id="7" xr3:uid="{168947AB-DDF2-4256-AE0C-396B7FAEA29E}" name="Education"/>
    <tableColumn id="8" xr3:uid="{18607BDA-6D79-4E11-AB8B-DC93C0AD8EBC}" name="EducationField"/>
    <tableColumn id="9" xr3:uid="{F795364B-191E-4E8B-9C99-D67336559B27}" name="EmployeeCount"/>
    <tableColumn id="10" xr3:uid="{3197C431-67C1-4E47-8EDB-8FAE5C05C42D}" name="EmployeeNumber"/>
    <tableColumn id="11" xr3:uid="{A3E1E6AC-E8BE-4499-A3ED-FDBE3325F5DF}" name="EnvironmentSatisfaction"/>
    <tableColumn id="12" xr3:uid="{C8EE731B-21E0-410C-8BF1-9BD9B0AC96D3}" name="Gender"/>
    <tableColumn id="13" xr3:uid="{4F8334D6-CA83-41B7-9950-8809D3D4ACE5}" name="HourlyRate"/>
    <tableColumn id="14" xr3:uid="{55CC9FAE-4554-4392-8F85-79A24DBCA855}" name="JobInvolvement"/>
    <tableColumn id="15" xr3:uid="{20FB636D-3374-42C8-8002-E470A7B4748F}" name="JobLevel"/>
    <tableColumn id="16" xr3:uid="{F06F40E9-5666-4BB7-B82F-BF9862E69085}" name="JobRole"/>
    <tableColumn id="17" xr3:uid="{B3F59997-E8C5-4849-85EA-6C5BEE0284C1}" name="JobSatisfaction"/>
    <tableColumn id="18" xr3:uid="{09445568-38E5-4FAA-967F-DF0EC06800AD}" name="MaritalStatus"/>
    <tableColumn id="19" xr3:uid="{ECF1691F-9B96-4E92-AC77-3B3E26ACD191}" name="MonthlyIncome"/>
    <tableColumn id="20" xr3:uid="{D6B65933-A84F-44A9-88FF-13A4617AADAB}" name="MonthlyRate"/>
    <tableColumn id="21" xr3:uid="{DF168F0C-FBB7-417E-BEE8-8EE780E48AA2}" name="NumCompaniesWorked"/>
    <tableColumn id="22" xr3:uid="{351B09D0-684E-45E0-8E38-6143A31649A6}" name="Over18"/>
    <tableColumn id="23" xr3:uid="{061FCD8C-C44C-48A0-BAF7-AD93EB2FEEA3}" name="OverTime"/>
    <tableColumn id="24" xr3:uid="{F1A92D29-31DA-40BA-AEC6-A4D55EA74FB6}" name="PercentSalaryHike"/>
    <tableColumn id="25" xr3:uid="{770BA926-3FD0-4779-80BF-902A3FB46D14}" name="PerformanceRating"/>
    <tableColumn id="26" xr3:uid="{07180B7D-7644-42A3-B11F-85ABFCBDF884}" name="RelationshipSatisfaction"/>
    <tableColumn id="27" xr3:uid="{747DAD38-3711-4CB6-89DC-18290ED2478A}" name="StandardHours"/>
    <tableColumn id="28" xr3:uid="{0A5BB4C6-8325-4EE3-8BCB-991E7763189E}" name="StockOptionLevel"/>
    <tableColumn id="29" xr3:uid="{4757AA6E-E7B5-4628-9F49-ADE8990DF70F}" name="TotalWorkingYears"/>
    <tableColumn id="30" xr3:uid="{6A299A2C-42C0-48E2-A345-B5A71BD1DF0A}" name="TrainingTimesLastYear"/>
    <tableColumn id="31" xr3:uid="{FC4160E7-D554-49EC-9CC3-8F5B500D840C}" name="WorkLifeBalance"/>
    <tableColumn id="32" xr3:uid="{AE893053-14E8-44D0-B1E9-6911DB980DEC}" name="YearsAtCompany"/>
    <tableColumn id="33" xr3:uid="{4E37D00C-2BFB-4CF3-9411-08CFDB270C0E}" name="YearsInCurrentRole"/>
    <tableColumn id="34" xr3:uid="{5DC450A7-CDDB-4CF3-B665-16AB6AB27C03}" name="YearsSinceLastPromotion"/>
    <tableColumn id="35" xr3:uid="{D75F9B8A-5066-450D-BE58-02FB11ED71D3}"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D5186-DF4C-413D-8393-0593B214F449}">
  <dimension ref="A1:AC16"/>
  <sheetViews>
    <sheetView showGridLines="0" tabSelected="1" zoomScale="70" zoomScaleNormal="70" workbookViewId="0">
      <selection activeCell="B31" sqref="B31"/>
    </sheetView>
  </sheetViews>
  <sheetFormatPr defaultRowHeight="15" x14ac:dyDescent="0.25"/>
  <cols>
    <col min="1" max="4" width="9.140625" style="10"/>
    <col min="5" max="5" width="11.28515625" style="10" bestFit="1" customWidth="1"/>
    <col min="6" max="16384" width="9.140625" style="10"/>
  </cols>
  <sheetData>
    <row r="1" spans="1:29" customFormat="1" ht="15" customHeight="1" x14ac:dyDescent="0.25">
      <c r="A1" s="9" t="s">
        <v>100</v>
      </c>
      <c r="B1" s="9"/>
      <c r="C1" s="9"/>
      <c r="D1" s="9"/>
      <c r="E1" s="9"/>
      <c r="F1" s="9"/>
      <c r="G1" s="9"/>
      <c r="H1" s="9"/>
      <c r="I1" s="9"/>
      <c r="J1" s="9"/>
      <c r="K1" s="9"/>
      <c r="L1" s="9"/>
      <c r="M1" s="9"/>
      <c r="N1" s="9"/>
      <c r="O1" s="9"/>
      <c r="P1" s="9"/>
      <c r="Q1" s="9"/>
      <c r="R1" s="9"/>
      <c r="S1" s="9"/>
      <c r="T1" s="9"/>
      <c r="U1" s="9"/>
      <c r="V1" s="9"/>
      <c r="W1" s="9"/>
      <c r="X1" s="9"/>
      <c r="Y1" s="9"/>
      <c r="Z1" s="9"/>
      <c r="AA1" s="9"/>
      <c r="AB1" s="9"/>
      <c r="AC1" s="9"/>
    </row>
    <row r="2" spans="1:29" customFormat="1" ht="15" customHeight="1"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row>
    <row r="6" spans="1:29" x14ac:dyDescent="0.25">
      <c r="I6" s="11"/>
    </row>
    <row r="10" spans="1:29" x14ac:dyDescent="0.25">
      <c r="C10" s="12"/>
      <c r="E10" s="13"/>
      <c r="H10" s="14"/>
    </row>
    <row r="16" spans="1:29" x14ac:dyDescent="0.25">
      <c r="F16" s="15"/>
    </row>
  </sheetData>
  <mergeCells count="1">
    <mergeCell ref="A1:AC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915E3-CED7-4557-935B-64C2CF827057}">
  <dimension ref="B1:B43"/>
  <sheetViews>
    <sheetView workbookViewId="0">
      <selection activeCell="I11" sqref="I11"/>
    </sheetView>
  </sheetViews>
  <sheetFormatPr defaultRowHeight="15" x14ac:dyDescent="0.25"/>
  <cols>
    <col min="2" max="2" width="10.28515625" bestFit="1" customWidth="1"/>
  </cols>
  <sheetData>
    <row r="1" spans="2:2" x14ac:dyDescent="0.25">
      <c r="B1" s="4" t="s">
        <v>110</v>
      </c>
    </row>
    <row r="3" spans="2:2" x14ac:dyDescent="0.25">
      <c r="B3" t="s">
        <v>69</v>
      </c>
    </row>
    <row r="4" spans="2:2" x14ac:dyDescent="0.25">
      <c r="B4">
        <f>GETPIVOTDATA("EmployeeCount",'Pivot Tables'!$A$3)</f>
        <v>1470</v>
      </c>
    </row>
    <row r="6" spans="2:2" x14ac:dyDescent="0.25">
      <c r="B6" t="s">
        <v>101</v>
      </c>
    </row>
    <row r="7" spans="2:2" x14ac:dyDescent="0.25">
      <c r="B7">
        <f>GETPIVOTDATA("EmployeeCount",'Pivot Tables'!$A$7,"Attrition","No")</f>
        <v>1233</v>
      </c>
    </row>
    <row r="9" spans="2:2" x14ac:dyDescent="0.25">
      <c r="B9" t="s">
        <v>102</v>
      </c>
    </row>
    <row r="10" spans="2:2" x14ac:dyDescent="0.25">
      <c r="B10">
        <f>GETPIVOTDATA("EmployeeCount",'Pivot Tables'!$A$7,"Attrition","Yes")</f>
        <v>237</v>
      </c>
    </row>
    <row r="12" spans="2:2" x14ac:dyDescent="0.25">
      <c r="B12" t="s">
        <v>108</v>
      </c>
    </row>
    <row r="13" spans="2:2" x14ac:dyDescent="0.25">
      <c r="B13" s="3">
        <f>GETPIVOTDATA("EmployeeCount",'Pivot Tables'!$A$13,"Attrition","Yes")/GETPIVOTDATA("EmployeeCount",'Pivot Tables'!$A$13)</f>
        <v>0.16122448979591836</v>
      </c>
    </row>
    <row r="15" spans="2:2" x14ac:dyDescent="0.25">
      <c r="B15" t="s">
        <v>68</v>
      </c>
    </row>
    <row r="16" spans="2:2" x14ac:dyDescent="0.25">
      <c r="B16" s="6">
        <f>GETPIVOTDATA("Age",'Pivot Tables'!$A$22)</f>
        <v>36.923809523809524</v>
      </c>
    </row>
    <row r="18" spans="2:2" x14ac:dyDescent="0.25">
      <c r="B18" t="s">
        <v>67</v>
      </c>
    </row>
    <row r="19" spans="2:2" x14ac:dyDescent="0.25">
      <c r="B19" s="7">
        <f>GETPIVOTDATA("MonthlyIncome",'Pivot Tables'!$A$27)</f>
        <v>6502.931292517007</v>
      </c>
    </row>
    <row r="21" spans="2:2" x14ac:dyDescent="0.25">
      <c r="B21" t="s">
        <v>66</v>
      </c>
    </row>
    <row r="22" spans="2:2" x14ac:dyDescent="0.25">
      <c r="B22" s="5">
        <f>GETPIVOTDATA("YearsAtCompany",'Pivot Tables'!$A$40)</f>
        <v>7.0081632653061225</v>
      </c>
    </row>
    <row r="24" spans="2:2" x14ac:dyDescent="0.25">
      <c r="B24" t="s">
        <v>109</v>
      </c>
    </row>
    <row r="25" spans="2:2" x14ac:dyDescent="0.25">
      <c r="B25" t="str">
        <f>'Pivot Tables'!A131</f>
        <v>26-35</v>
      </c>
    </row>
    <row r="43" spans="2:2" x14ac:dyDescent="0.25">
      <c r="B4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3BC77-1545-49EA-8714-F497E5E87E07}">
  <dimension ref="A1:D135"/>
  <sheetViews>
    <sheetView workbookViewId="0">
      <selection activeCell="G18" sqref="G18"/>
    </sheetView>
  </sheetViews>
  <sheetFormatPr defaultRowHeight="15" x14ac:dyDescent="0.25"/>
  <cols>
    <col min="1" max="2" width="26.140625" bestFit="1" customWidth="1"/>
    <col min="3" max="4" width="11.28515625" bestFit="1" customWidth="1"/>
    <col min="5" max="5" width="16.28515625" bestFit="1" customWidth="1"/>
    <col min="6" max="7" width="11.28515625" bestFit="1" customWidth="1"/>
    <col min="8" max="8" width="16.28515625" bestFit="1" customWidth="1"/>
    <col min="9" max="9" width="11.28515625" bestFit="1" customWidth="1"/>
    <col min="10" max="10" width="5.5703125" bestFit="1" customWidth="1"/>
    <col min="11" max="11" width="11.28515625" bestFit="1" customWidth="1"/>
    <col min="12" max="12" width="4.140625" bestFit="1" customWidth="1"/>
    <col min="13" max="13" width="8.85546875" customWidth="1"/>
    <col min="14" max="14" width="7.42578125" bestFit="1" customWidth="1"/>
    <col min="15" max="15" width="4.140625" bestFit="1" customWidth="1"/>
    <col min="16" max="16" width="10.42578125" bestFit="1" customWidth="1"/>
    <col min="17" max="17" width="11.28515625" bestFit="1" customWidth="1"/>
  </cols>
  <sheetData>
    <row r="1" spans="1:4" x14ac:dyDescent="0.25">
      <c r="A1" s="4"/>
    </row>
    <row r="2" spans="1:4" x14ac:dyDescent="0.25">
      <c r="A2" t="s">
        <v>69</v>
      </c>
    </row>
    <row r="3" spans="1:4" x14ac:dyDescent="0.25">
      <c r="A3" t="s">
        <v>74</v>
      </c>
    </row>
    <row r="4" spans="1:4" x14ac:dyDescent="0.25">
      <c r="A4" s="8">
        <v>1470</v>
      </c>
    </row>
    <row r="6" spans="1:4" x14ac:dyDescent="0.25">
      <c r="A6" t="s">
        <v>63</v>
      </c>
    </row>
    <row r="7" spans="1:4" x14ac:dyDescent="0.25">
      <c r="A7" s="1" t="s">
        <v>1</v>
      </c>
      <c r="B7" t="s">
        <v>74</v>
      </c>
    </row>
    <row r="8" spans="1:4" x14ac:dyDescent="0.25">
      <c r="A8" s="2" t="s">
        <v>43</v>
      </c>
      <c r="B8" s="8">
        <v>1233</v>
      </c>
    </row>
    <row r="9" spans="1:4" x14ac:dyDescent="0.25">
      <c r="A9" s="2" t="s">
        <v>35</v>
      </c>
      <c r="B9" s="8">
        <v>237</v>
      </c>
    </row>
    <row r="10" spans="1:4" x14ac:dyDescent="0.25">
      <c r="A10" s="2" t="s">
        <v>62</v>
      </c>
      <c r="B10" s="8">
        <v>1470</v>
      </c>
    </row>
    <row r="12" spans="1:4" x14ac:dyDescent="0.25">
      <c r="A12" t="s">
        <v>71</v>
      </c>
    </row>
    <row r="13" spans="1:4" x14ac:dyDescent="0.25">
      <c r="A13" s="1" t="s">
        <v>74</v>
      </c>
      <c r="B13" s="1" t="s">
        <v>1</v>
      </c>
    </row>
    <row r="14" spans="1:4" x14ac:dyDescent="0.25">
      <c r="A14" s="1" t="s">
        <v>4</v>
      </c>
      <c r="B14" t="s">
        <v>43</v>
      </c>
      <c r="C14" t="s">
        <v>35</v>
      </c>
      <c r="D14" t="s">
        <v>62</v>
      </c>
    </row>
    <row r="15" spans="1:4" x14ac:dyDescent="0.25">
      <c r="A15" s="2" t="s">
        <v>61</v>
      </c>
      <c r="B15" s="8">
        <v>51</v>
      </c>
      <c r="C15" s="8">
        <v>12</v>
      </c>
      <c r="D15" s="8">
        <v>63</v>
      </c>
    </row>
    <row r="16" spans="1:4" x14ac:dyDescent="0.25">
      <c r="A16" s="2" t="s">
        <v>45</v>
      </c>
      <c r="B16" s="8">
        <v>828</v>
      </c>
      <c r="C16" s="8">
        <v>133</v>
      </c>
      <c r="D16" s="8">
        <v>961</v>
      </c>
    </row>
    <row r="17" spans="1:4" x14ac:dyDescent="0.25">
      <c r="A17" s="2" t="s">
        <v>37</v>
      </c>
      <c r="B17" s="8">
        <v>354</v>
      </c>
      <c r="C17" s="8">
        <v>92</v>
      </c>
      <c r="D17" s="8">
        <v>446</v>
      </c>
    </row>
    <row r="18" spans="1:4" x14ac:dyDescent="0.25">
      <c r="A18" s="2" t="s">
        <v>62</v>
      </c>
      <c r="B18" s="8">
        <v>1233</v>
      </c>
      <c r="C18" s="8">
        <v>237</v>
      </c>
      <c r="D18" s="8">
        <v>1470</v>
      </c>
    </row>
    <row r="21" spans="1:4" x14ac:dyDescent="0.25">
      <c r="A21" t="s">
        <v>68</v>
      </c>
    </row>
    <row r="22" spans="1:4" x14ac:dyDescent="0.25">
      <c r="A22" t="s">
        <v>64</v>
      </c>
    </row>
    <row r="23" spans="1:4" x14ac:dyDescent="0.25">
      <c r="A23" s="6">
        <v>36.923809523809524</v>
      </c>
    </row>
    <row r="26" spans="1:4" x14ac:dyDescent="0.25">
      <c r="A26" t="s">
        <v>67</v>
      </c>
    </row>
    <row r="27" spans="1:4" x14ac:dyDescent="0.25">
      <c r="A27" t="s">
        <v>65</v>
      </c>
    </row>
    <row r="28" spans="1:4" x14ac:dyDescent="0.25">
      <c r="A28" s="5">
        <v>6502.931292517007</v>
      </c>
    </row>
    <row r="30" spans="1:4" x14ac:dyDescent="0.25">
      <c r="A30" t="s">
        <v>103</v>
      </c>
    </row>
    <row r="31" spans="1:4" x14ac:dyDescent="0.25">
      <c r="A31" s="1" t="s">
        <v>74</v>
      </c>
      <c r="B31" s="1" t="s">
        <v>1</v>
      </c>
    </row>
    <row r="32" spans="1:4" x14ac:dyDescent="0.25">
      <c r="A32" s="1" t="s">
        <v>4</v>
      </c>
      <c r="B32" t="s">
        <v>35</v>
      </c>
      <c r="C32" t="s">
        <v>62</v>
      </c>
    </row>
    <row r="33" spans="1:3" x14ac:dyDescent="0.25">
      <c r="A33" s="2" t="s">
        <v>61</v>
      </c>
      <c r="B33" s="8">
        <v>12</v>
      </c>
      <c r="C33" s="8">
        <v>12</v>
      </c>
    </row>
    <row r="34" spans="1:3" x14ac:dyDescent="0.25">
      <c r="A34" s="2" t="s">
        <v>37</v>
      </c>
      <c r="B34" s="8">
        <v>92</v>
      </c>
      <c r="C34" s="8">
        <v>92</v>
      </c>
    </row>
    <row r="35" spans="1:3" x14ac:dyDescent="0.25">
      <c r="A35" s="2" t="s">
        <v>45</v>
      </c>
      <c r="B35" s="8">
        <v>133</v>
      </c>
      <c r="C35" s="8">
        <v>133</v>
      </c>
    </row>
    <row r="36" spans="1:3" x14ac:dyDescent="0.25">
      <c r="A36" s="2" t="s">
        <v>62</v>
      </c>
      <c r="B36" s="8">
        <v>237</v>
      </c>
      <c r="C36" s="8">
        <v>237</v>
      </c>
    </row>
    <row r="39" spans="1:3" x14ac:dyDescent="0.25">
      <c r="A39" t="s">
        <v>66</v>
      </c>
    </row>
    <row r="40" spans="1:3" x14ac:dyDescent="0.25">
      <c r="A40" t="s">
        <v>70</v>
      </c>
    </row>
    <row r="41" spans="1:3" x14ac:dyDescent="0.25">
      <c r="A41" s="5">
        <v>7.0081632653061225</v>
      </c>
    </row>
    <row r="46" spans="1:3" x14ac:dyDescent="0.25">
      <c r="A46" t="s">
        <v>104</v>
      </c>
    </row>
    <row r="47" spans="1:3" x14ac:dyDescent="0.25">
      <c r="A47" s="1" t="s">
        <v>74</v>
      </c>
      <c r="B47" s="1" t="s">
        <v>1</v>
      </c>
    </row>
    <row r="48" spans="1:3" x14ac:dyDescent="0.25">
      <c r="A48" s="1" t="s">
        <v>88</v>
      </c>
      <c r="B48" t="s">
        <v>35</v>
      </c>
      <c r="C48" t="s">
        <v>62</v>
      </c>
    </row>
    <row r="49" spans="1:3" x14ac:dyDescent="0.25">
      <c r="A49" s="2" t="s">
        <v>58</v>
      </c>
      <c r="B49" s="8">
        <v>2</v>
      </c>
      <c r="C49" s="8">
        <v>2</v>
      </c>
    </row>
    <row r="50" spans="1:3" x14ac:dyDescent="0.25">
      <c r="A50" s="2" t="s">
        <v>56</v>
      </c>
      <c r="B50" s="8">
        <v>5</v>
      </c>
      <c r="C50" s="8">
        <v>5</v>
      </c>
    </row>
    <row r="51" spans="1:3" x14ac:dyDescent="0.25">
      <c r="A51" s="2" t="s">
        <v>54</v>
      </c>
      <c r="B51" s="8">
        <v>9</v>
      </c>
      <c r="C51" s="8">
        <v>9</v>
      </c>
    </row>
    <row r="52" spans="1:3" x14ac:dyDescent="0.25">
      <c r="A52" s="2" t="s">
        <v>53</v>
      </c>
      <c r="B52" s="8">
        <v>10</v>
      </c>
      <c r="C52" s="8">
        <v>10</v>
      </c>
    </row>
    <row r="53" spans="1:3" x14ac:dyDescent="0.25">
      <c r="A53" s="2" t="s">
        <v>61</v>
      </c>
      <c r="B53" s="8">
        <v>12</v>
      </c>
      <c r="C53" s="8">
        <v>12</v>
      </c>
    </row>
    <row r="54" spans="1:3" x14ac:dyDescent="0.25">
      <c r="A54" s="2" t="s">
        <v>57</v>
      </c>
      <c r="B54" s="8">
        <v>33</v>
      </c>
      <c r="C54" s="8">
        <v>33</v>
      </c>
    </row>
    <row r="55" spans="1:3" x14ac:dyDescent="0.25">
      <c r="A55" s="2" t="s">
        <v>47</v>
      </c>
      <c r="B55" s="8">
        <v>47</v>
      </c>
      <c r="C55" s="8">
        <v>47</v>
      </c>
    </row>
    <row r="56" spans="1:3" x14ac:dyDescent="0.25">
      <c r="A56" s="2" t="s">
        <v>40</v>
      </c>
      <c r="B56" s="8">
        <v>57</v>
      </c>
      <c r="C56" s="8">
        <v>57</v>
      </c>
    </row>
    <row r="57" spans="1:3" x14ac:dyDescent="0.25">
      <c r="A57" s="2" t="s">
        <v>50</v>
      </c>
      <c r="B57" s="8">
        <v>62</v>
      </c>
      <c r="C57" s="8">
        <v>62</v>
      </c>
    </row>
    <row r="58" spans="1:3" x14ac:dyDescent="0.25">
      <c r="A58" s="2" t="s">
        <v>62</v>
      </c>
      <c r="B58" s="8">
        <v>237</v>
      </c>
      <c r="C58" s="8">
        <v>237</v>
      </c>
    </row>
    <row r="63" spans="1:3" x14ac:dyDescent="0.25">
      <c r="A63" t="s">
        <v>105</v>
      </c>
    </row>
    <row r="64" spans="1:3" x14ac:dyDescent="0.25">
      <c r="A64" s="1" t="s">
        <v>74</v>
      </c>
      <c r="B64" s="1" t="s">
        <v>1</v>
      </c>
    </row>
    <row r="65" spans="1:4" x14ac:dyDescent="0.25">
      <c r="A65" s="1" t="s">
        <v>72</v>
      </c>
      <c r="B65" t="s">
        <v>43</v>
      </c>
      <c r="C65" t="s">
        <v>35</v>
      </c>
      <c r="D65" t="s">
        <v>62</v>
      </c>
    </row>
    <row r="66" spans="1:4" x14ac:dyDescent="0.25">
      <c r="A66" s="2" t="s">
        <v>43</v>
      </c>
      <c r="B66" s="8">
        <v>944</v>
      </c>
      <c r="C66" s="8">
        <v>110</v>
      </c>
      <c r="D66" s="8">
        <v>1054</v>
      </c>
    </row>
    <row r="67" spans="1:4" x14ac:dyDescent="0.25">
      <c r="A67" s="2" t="s">
        <v>35</v>
      </c>
      <c r="B67" s="8">
        <v>289</v>
      </c>
      <c r="C67" s="8">
        <v>127</v>
      </c>
      <c r="D67" s="8">
        <v>416</v>
      </c>
    </row>
    <row r="68" spans="1:4" x14ac:dyDescent="0.25">
      <c r="A68" s="2" t="s">
        <v>62</v>
      </c>
      <c r="B68" s="8">
        <v>1233</v>
      </c>
      <c r="C68" s="8">
        <v>237</v>
      </c>
      <c r="D68" s="8">
        <v>1470</v>
      </c>
    </row>
    <row r="70" spans="1:4" x14ac:dyDescent="0.25">
      <c r="A70" s="2" t="s">
        <v>75</v>
      </c>
      <c r="B70" s="3">
        <f>GETPIVOTDATA("EmployeeCount",$A$64,"Attrition","Yes","OverTime","No")/GETPIVOTDATA("EmployeeCount",$A$64,"OverTime","No")</f>
        <v>0.10436432637571158</v>
      </c>
    </row>
    <row r="71" spans="1:4" x14ac:dyDescent="0.25">
      <c r="A71" s="2" t="s">
        <v>76</v>
      </c>
      <c r="B71" s="3">
        <f>GETPIVOTDATA("EmployeeCount",$A$64,"Attrition","Yes","OverTime","Yes")/GETPIVOTDATA("EmployeeCount",$A$64,"OverTime","Yes")</f>
        <v>0.30528846153846156</v>
      </c>
    </row>
    <row r="73" spans="1:4" x14ac:dyDescent="0.25">
      <c r="A73" s="2" t="s">
        <v>106</v>
      </c>
    </row>
    <row r="74" spans="1:4" x14ac:dyDescent="0.25">
      <c r="A74" s="1" t="s">
        <v>74</v>
      </c>
      <c r="B74" s="1" t="s">
        <v>1</v>
      </c>
    </row>
    <row r="75" spans="1:4" x14ac:dyDescent="0.25">
      <c r="A75" s="1" t="s">
        <v>73</v>
      </c>
      <c r="B75" t="s">
        <v>43</v>
      </c>
      <c r="C75" t="s">
        <v>35</v>
      </c>
      <c r="D75" t="s">
        <v>62</v>
      </c>
    </row>
    <row r="76" spans="1:4" x14ac:dyDescent="0.25">
      <c r="A76" s="2" t="s">
        <v>55</v>
      </c>
      <c r="B76" s="8">
        <v>138</v>
      </c>
      <c r="C76" s="8">
        <v>12</v>
      </c>
      <c r="D76" s="8">
        <v>150</v>
      </c>
    </row>
    <row r="77" spans="1:4" x14ac:dyDescent="0.25">
      <c r="A77" s="2" t="s">
        <v>44</v>
      </c>
      <c r="B77" s="8">
        <v>208</v>
      </c>
      <c r="C77" s="8">
        <v>69</v>
      </c>
      <c r="D77" s="8">
        <v>277</v>
      </c>
    </row>
    <row r="78" spans="1:4" x14ac:dyDescent="0.25">
      <c r="A78" s="2" t="s">
        <v>36</v>
      </c>
      <c r="B78" s="8">
        <v>887</v>
      </c>
      <c r="C78" s="8">
        <v>156</v>
      </c>
      <c r="D78" s="8">
        <v>1043</v>
      </c>
    </row>
    <row r="79" spans="1:4" x14ac:dyDescent="0.25">
      <c r="A79" s="2" t="s">
        <v>62</v>
      </c>
      <c r="B79" s="8">
        <v>1233</v>
      </c>
      <c r="C79" s="8">
        <v>237</v>
      </c>
      <c r="D79" s="8">
        <v>1470</v>
      </c>
    </row>
    <row r="81" spans="1:4" x14ac:dyDescent="0.25">
      <c r="A81" s="2" t="s">
        <v>77</v>
      </c>
      <c r="B81" s="3">
        <f>GETPIVOTDATA("EmployeeCount",$A$74,"Attrition","Yes","BusinessTravel","Non-Travel")/GETPIVOTDATA("EmployeeCount",$A$74,"BusinessTravel","Non-Travel")</f>
        <v>0.08</v>
      </c>
    </row>
    <row r="82" spans="1:4" x14ac:dyDescent="0.25">
      <c r="A82" s="2" t="s">
        <v>79</v>
      </c>
      <c r="B82" s="3">
        <f>GETPIVOTDATA("EmployeeCount",$A$74,"Attrition","Yes","BusinessTravel","Travel_Rarely")/GETPIVOTDATA("EmployeeCount",$A$74,"BusinessTravel","Travel_Rarely")</f>
        <v>0.14956855225311602</v>
      </c>
    </row>
    <row r="83" spans="1:4" x14ac:dyDescent="0.25">
      <c r="A83" s="2" t="s">
        <v>78</v>
      </c>
      <c r="B83" s="3">
        <f>GETPIVOTDATA("EmployeeCount",$A$74,"Attrition","Yes","BusinessTravel","Travel_Frequently")/GETPIVOTDATA("EmployeeCount",$A$74,"BusinessTravel","Travel_Frequently")</f>
        <v>0.24909747292418771</v>
      </c>
    </row>
    <row r="85" spans="1:4" x14ac:dyDescent="0.25">
      <c r="A85" s="2" t="s">
        <v>107</v>
      </c>
    </row>
    <row r="86" spans="1:4" x14ac:dyDescent="0.25">
      <c r="A86" s="1" t="s">
        <v>74</v>
      </c>
      <c r="B86" s="1" t="s">
        <v>1</v>
      </c>
    </row>
    <row r="87" spans="1:4" x14ac:dyDescent="0.25">
      <c r="A87" s="1" t="s">
        <v>80</v>
      </c>
      <c r="B87" t="s">
        <v>43</v>
      </c>
      <c r="C87" t="s">
        <v>35</v>
      </c>
      <c r="D87" t="s">
        <v>62</v>
      </c>
    </row>
    <row r="88" spans="1:4" x14ac:dyDescent="0.25">
      <c r="A88" s="2" t="s">
        <v>61</v>
      </c>
      <c r="B88" s="8">
        <v>20</v>
      </c>
      <c r="C88" s="8">
        <v>7</v>
      </c>
      <c r="D88" s="8">
        <v>27</v>
      </c>
    </row>
    <row r="89" spans="1:4" x14ac:dyDescent="0.25">
      <c r="A89" s="2" t="s">
        <v>38</v>
      </c>
      <c r="B89" s="8">
        <v>517</v>
      </c>
      <c r="C89" s="8">
        <v>89</v>
      </c>
      <c r="D89" s="8">
        <v>606</v>
      </c>
    </row>
    <row r="90" spans="1:4" x14ac:dyDescent="0.25">
      <c r="A90" s="2" t="s">
        <v>59</v>
      </c>
      <c r="B90" s="8">
        <v>124</v>
      </c>
      <c r="C90" s="8">
        <v>35</v>
      </c>
      <c r="D90" s="8">
        <v>159</v>
      </c>
    </row>
    <row r="91" spans="1:4" x14ac:dyDescent="0.25">
      <c r="A91" s="2" t="s">
        <v>51</v>
      </c>
      <c r="B91" s="8">
        <v>401</v>
      </c>
      <c r="C91" s="8">
        <v>63</v>
      </c>
      <c r="D91" s="8">
        <v>464</v>
      </c>
    </row>
    <row r="92" spans="1:4" x14ac:dyDescent="0.25">
      <c r="A92" s="2" t="s">
        <v>49</v>
      </c>
      <c r="B92" s="8">
        <v>71</v>
      </c>
      <c r="C92" s="8">
        <v>11</v>
      </c>
      <c r="D92" s="8">
        <v>82</v>
      </c>
    </row>
    <row r="93" spans="1:4" x14ac:dyDescent="0.25">
      <c r="A93" s="2" t="s">
        <v>60</v>
      </c>
      <c r="B93" s="8">
        <v>100</v>
      </c>
      <c r="C93" s="8">
        <v>32</v>
      </c>
      <c r="D93" s="8">
        <v>132</v>
      </c>
    </row>
    <row r="94" spans="1:4" x14ac:dyDescent="0.25">
      <c r="A94" s="2" t="s">
        <v>62</v>
      </c>
      <c r="B94" s="8">
        <v>1233</v>
      </c>
      <c r="C94" s="8">
        <v>237</v>
      </c>
      <c r="D94" s="8">
        <v>1470</v>
      </c>
    </row>
    <row r="96" spans="1:4" x14ac:dyDescent="0.25">
      <c r="A96" s="2" t="s">
        <v>85</v>
      </c>
      <c r="B96" s="3">
        <f>GETPIVOTDATA("EmployeeCount",$A$86,"Attrition","Yes","EducationField","Other")/GETPIVOTDATA("EmployeeCount",$A$86,"EducationField","Other")</f>
        <v>0.13414634146341464</v>
      </c>
    </row>
    <row r="97" spans="1:2" x14ac:dyDescent="0.25">
      <c r="A97" s="2" t="s">
        <v>84</v>
      </c>
      <c r="B97" s="3">
        <f>GETPIVOTDATA("EmployeeCount",$A$86,"Attrition","Yes","EducationField","Medical")/GETPIVOTDATA("EmployeeCount",$A$86,"EducationField","Medical")</f>
        <v>0.13577586206896552</v>
      </c>
    </row>
    <row r="98" spans="1:2" x14ac:dyDescent="0.25">
      <c r="A98" s="2" t="s">
        <v>82</v>
      </c>
      <c r="B98" s="3">
        <f>GETPIVOTDATA("EmployeeCount",$A$86,"Attrition","Yes","EducationField","Life Sciences")/GETPIVOTDATA("EmployeeCount",$A$86,"EducationField","Life Sciences")</f>
        <v>0.14686468646864687</v>
      </c>
    </row>
    <row r="99" spans="1:2" x14ac:dyDescent="0.25">
      <c r="A99" s="2" t="s">
        <v>83</v>
      </c>
      <c r="B99" s="3">
        <f>GETPIVOTDATA("EmployeeCount",$A$86,"Attrition","Yes","EducationField","Marketing")/GETPIVOTDATA("EmployeeCount",$A$86,"EducationField","Marketing")</f>
        <v>0.22012578616352202</v>
      </c>
    </row>
    <row r="100" spans="1:2" x14ac:dyDescent="0.25">
      <c r="A100" s="2" t="s">
        <v>86</v>
      </c>
      <c r="B100" s="3">
        <f>GETPIVOTDATA("EmployeeCount",$A$86,"Attrition","Yes","EducationField","Technical Degree")/GETPIVOTDATA("EmployeeCount",$A$86,"EducationField","Technical Degree")</f>
        <v>0.24242424242424243</v>
      </c>
    </row>
    <row r="101" spans="1:2" x14ac:dyDescent="0.25">
      <c r="A101" s="2" t="s">
        <v>81</v>
      </c>
      <c r="B101" s="3">
        <f>GETPIVOTDATA("EmployeeCount",$A$86,"Attrition","Yes","EducationField","Human Resources")/GETPIVOTDATA("EmployeeCount",$A$86,"EducationField","Human Resources")</f>
        <v>0.25925925925925924</v>
      </c>
    </row>
    <row r="103" spans="1:2" x14ac:dyDescent="0.25">
      <c r="A103" t="s">
        <v>87</v>
      </c>
    </row>
    <row r="104" spans="1:2" x14ac:dyDescent="0.25">
      <c r="A104" s="1" t="s">
        <v>11</v>
      </c>
      <c r="B104" t="s">
        <v>74</v>
      </c>
    </row>
    <row r="105" spans="1:2" x14ac:dyDescent="0.25">
      <c r="A105" s="2" t="s">
        <v>39</v>
      </c>
      <c r="B105" s="8">
        <v>588</v>
      </c>
    </row>
    <row r="106" spans="1:2" x14ac:dyDescent="0.25">
      <c r="A106" s="2" t="s">
        <v>46</v>
      </c>
      <c r="B106" s="8">
        <v>882</v>
      </c>
    </row>
    <row r="107" spans="1:2" x14ac:dyDescent="0.25">
      <c r="A107" s="2" t="s">
        <v>62</v>
      </c>
      <c r="B107" s="8">
        <v>1470</v>
      </c>
    </row>
    <row r="115" spans="1:2" x14ac:dyDescent="0.25">
      <c r="A115" t="s">
        <v>89</v>
      </c>
    </row>
    <row r="116" spans="1:2" x14ac:dyDescent="0.25">
      <c r="A116" s="1" t="s">
        <v>90</v>
      </c>
      <c r="B116" t="s">
        <v>74</v>
      </c>
    </row>
    <row r="117" spans="1:2" x14ac:dyDescent="0.25">
      <c r="A117" s="2" t="s">
        <v>52</v>
      </c>
      <c r="B117" s="8">
        <v>327</v>
      </c>
    </row>
    <row r="118" spans="1:2" x14ac:dyDescent="0.25">
      <c r="A118" s="2" t="s">
        <v>48</v>
      </c>
      <c r="B118" s="8">
        <v>673</v>
      </c>
    </row>
    <row r="119" spans="1:2" x14ac:dyDescent="0.25">
      <c r="A119" s="2" t="s">
        <v>41</v>
      </c>
      <c r="B119" s="8">
        <v>470</v>
      </c>
    </row>
    <row r="120" spans="1:2" x14ac:dyDescent="0.25">
      <c r="A120" s="2" t="s">
        <v>62</v>
      </c>
      <c r="B120" s="8">
        <v>1470</v>
      </c>
    </row>
    <row r="127" spans="1:2" x14ac:dyDescent="0.25">
      <c r="A127" t="s">
        <v>91</v>
      </c>
    </row>
    <row r="129" spans="1:2" x14ac:dyDescent="0.25">
      <c r="A129" t="s">
        <v>92</v>
      </c>
      <c r="B129" t="s">
        <v>98</v>
      </c>
    </row>
    <row r="130" spans="1:2" x14ac:dyDescent="0.25">
      <c r="A130" t="s">
        <v>93</v>
      </c>
      <c r="B130">
        <f>COUNTIFS(HR_Data[Age],"&gt;=18",HR_Data[Age],"&lt;=25")</f>
        <v>123</v>
      </c>
    </row>
    <row r="131" spans="1:2" x14ac:dyDescent="0.25">
      <c r="A131" t="s">
        <v>94</v>
      </c>
      <c r="B131">
        <f>COUNTIFS(HR_Data[Age],"&gt;=26",HR_Data[Age],"&lt;=35")</f>
        <v>606</v>
      </c>
    </row>
    <row r="132" spans="1:2" x14ac:dyDescent="0.25">
      <c r="A132" t="s">
        <v>95</v>
      </c>
      <c r="B132">
        <f>COUNTIFS(HR_Data[Age],"&gt;=36",HR_Data[Age],"&lt;=45")</f>
        <v>468</v>
      </c>
    </row>
    <row r="133" spans="1:2" x14ac:dyDescent="0.25">
      <c r="A133" t="s">
        <v>96</v>
      </c>
      <c r="B133">
        <f>COUNTIFS(HR_Data[Age],"&gt;=46",HR_Data[Age],"&lt;=55")</f>
        <v>226</v>
      </c>
    </row>
    <row r="134" spans="1:2" x14ac:dyDescent="0.25">
      <c r="A134" t="s">
        <v>97</v>
      </c>
      <c r="B134">
        <f>COUNTIFS(HR_Data[Age],"&gt;=56")</f>
        <v>47</v>
      </c>
    </row>
    <row r="135" spans="1:2" x14ac:dyDescent="0.25">
      <c r="A135" t="s">
        <v>99</v>
      </c>
      <c r="B135">
        <f>SUM(B130:B134)</f>
        <v>1470</v>
      </c>
    </row>
  </sheetData>
  <sortState xmlns:xlrd2="http://schemas.microsoft.com/office/spreadsheetml/2017/richdata2" ref="A96:B101">
    <sortCondition ref="B96:B101"/>
  </sortState>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00390-3484-4F94-9DE6-54C363339402}">
  <dimension ref="A1:AI1471"/>
  <sheetViews>
    <sheetView workbookViewId="0">
      <selection activeCell="C5" sqref="C5"/>
    </sheetView>
  </sheetViews>
  <sheetFormatPr defaultRowHeight="15" x14ac:dyDescent="0.25"/>
  <cols>
    <col min="2" max="2" width="10.7109375" customWidth="1"/>
    <col min="3" max="3" width="16.28515625" customWidth="1"/>
    <col min="4" max="4" width="11.5703125" customWidth="1"/>
    <col min="5" max="5" width="13.85546875" customWidth="1"/>
    <col min="6" max="6" width="20.5703125" customWidth="1"/>
    <col min="7" max="7" width="11.85546875" customWidth="1"/>
    <col min="8" max="8" width="16.28515625" customWidth="1"/>
    <col min="9" max="9" width="17.28515625" customWidth="1"/>
    <col min="10" max="10" width="19.28515625" customWidth="1"/>
    <col min="11" max="11" width="24.85546875" customWidth="1"/>
    <col min="12" max="12" width="9.85546875" customWidth="1"/>
    <col min="13" max="13" width="13" customWidth="1"/>
    <col min="14" max="14" width="17.42578125" customWidth="1"/>
    <col min="15" max="15" width="10.85546875" customWidth="1"/>
    <col min="16" max="16" width="10.140625" customWidth="1"/>
    <col min="17" max="17" width="16.42578125" customWidth="1"/>
    <col min="18" max="18" width="15" customWidth="1"/>
    <col min="19" max="19" width="17.28515625" customWidth="1"/>
    <col min="20" max="20" width="14.7109375" customWidth="1"/>
    <col min="21" max="21" width="24.42578125" customWidth="1"/>
    <col min="22" max="22" width="9.42578125" customWidth="1"/>
    <col min="23" max="23" width="11.85546875" customWidth="1"/>
    <col min="24" max="24" width="19.28515625" customWidth="1"/>
    <col min="25" max="25" width="20.140625" customWidth="1"/>
    <col min="26" max="26" width="24.5703125" customWidth="1"/>
    <col min="27" max="27" width="16.140625" customWidth="1"/>
    <col min="28" max="28" width="18.7109375" customWidth="1"/>
    <col min="29" max="29" width="20" customWidth="1"/>
    <col min="30" max="30" width="23" customWidth="1"/>
    <col min="31" max="31" width="18.140625" customWidth="1"/>
    <col min="32" max="32" width="18.28515625" customWidth="1"/>
    <col min="33" max="33" width="20.42578125" customWidth="1"/>
    <col min="34" max="34" width="25.5703125" customWidth="1"/>
    <col min="35" max="35" width="24"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conditionalFormatting sqref="J1:J1048576">
    <cfRule type="duplicateValues" dxfId="1" priority="1"/>
    <cfRule type="duplicateValues" dxfId="0" priority="2"/>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Calculations</vt:lpstr>
      <vt:lpstr>Pivot Tables</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 PC</dc:creator>
  <cp:lastModifiedBy>This PC</cp:lastModifiedBy>
  <dcterms:created xsi:type="dcterms:W3CDTF">2026-07-16T16:40:17Z</dcterms:created>
  <dcterms:modified xsi:type="dcterms:W3CDTF">2026-07-20T08:51:22Z</dcterms:modified>
</cp:coreProperties>
</file>